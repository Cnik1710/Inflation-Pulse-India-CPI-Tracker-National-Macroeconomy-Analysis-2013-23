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_IMPORT_VALRS_H" sheetId="1" r:id="rId4"/>
    <sheet state="visible" name="PT_Import_Val_2022-23" sheetId="2" r:id="rId5"/>
    <sheet state="visible" name="PT_Import_Val_2021-22" sheetId="3" r:id="rId6"/>
    <sheet state="visible" name="PT_Import_Val_2020-21" sheetId="4" r:id="rId7"/>
    <sheet state="visible" name="PT_Import_Val_2019-20" sheetId="5" r:id="rId8"/>
    <sheet state="visible" name="PT_Import_Val_2018-19" sheetId="6" r:id="rId9"/>
    <sheet state="visible" name="PT_Import_Val_2017-18" sheetId="7" r:id="rId10"/>
    <sheet state="visible" name="PT_Import_Val_2016-17 " sheetId="8" r:id="rId11"/>
    <sheet state="visible" name="PT_IMPORT_VALRS_H_2015-16" sheetId="9" r:id="rId12"/>
    <sheet state="visible" name="PT_IMPORT_VALRS_H_2014-15" sheetId="10" r:id="rId13"/>
    <sheet state="visible" name="PT_IMPORT_VALRS_H_2013-14" sheetId="11" r:id="rId14"/>
    <sheet state="visible" name="PT_IMPORT_VALRS_H 2012-13 " sheetId="12" r:id="rId15"/>
    <sheet state="visible" name="PT_IMPORT_VALRS_H 2011-12" sheetId="13" r:id="rId16"/>
    <sheet state="hidden" name="Sheet2" sheetId="14" r:id="rId17"/>
    <sheet state="hidden" name="Sheet3" sheetId="15" r:id="rId18"/>
  </sheets>
  <definedNames>
    <definedName localSheetId="6" name="ACT_QTR_00_01">#REF!</definedName>
    <definedName name="ACT_QTR_00_01">#REF!</definedName>
  </definedNames>
  <calcPr/>
</workbook>
</file>

<file path=xl/sharedStrings.xml><?xml version="1.0" encoding="utf-8"?>
<sst xmlns="http://schemas.openxmlformats.org/spreadsheetml/2006/main" count="786" uniqueCount="129">
  <si>
    <t>Petroleum Planning &amp; Analysis Cell</t>
  </si>
  <si>
    <t>Period : 1998-99 - 2022-23</t>
  </si>
  <si>
    <t>('Rs. Crore)</t>
  </si>
  <si>
    <t>Import/Export of Crude oil and Petroleum Products</t>
  </si>
  <si>
    <t>IMPORT/EXPORT</t>
  </si>
  <si>
    <t>1998-99</t>
  </si>
  <si>
    <t>1999-2000</t>
  </si>
  <si>
    <t>2000-01</t>
  </si>
  <si>
    <t xml:space="preserve">2001-02 </t>
  </si>
  <si>
    <t>2002-03</t>
  </si>
  <si>
    <t>2003-04</t>
  </si>
  <si>
    <t>2004-05</t>
  </si>
  <si>
    <t>2005-06</t>
  </si>
  <si>
    <t xml:space="preserve">2006-07 </t>
  </si>
  <si>
    <t xml:space="preserve">2007-08 </t>
  </si>
  <si>
    <t xml:space="preserve">2008-09 </t>
  </si>
  <si>
    <t>2009-10</t>
  </si>
  <si>
    <t xml:space="preserve">2010-11 </t>
  </si>
  <si>
    <t xml:space="preserve">2011-12 </t>
  </si>
  <si>
    <t xml:space="preserve">2012-13 </t>
  </si>
  <si>
    <t>2013-14</t>
  </si>
  <si>
    <t xml:space="preserve">2014-15 </t>
  </si>
  <si>
    <t>2015-16</t>
  </si>
  <si>
    <t>2018-19</t>
  </si>
  <si>
    <t>2019-20</t>
  </si>
  <si>
    <t>2020-21</t>
  </si>
  <si>
    <t>2021-22</t>
  </si>
  <si>
    <t>2022-23</t>
  </si>
  <si>
    <t>IMPORT^</t>
  </si>
  <si>
    <t xml:space="preserve"> CRUDE OIL$</t>
  </si>
  <si>
    <t>PRODUCT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</si>
  <si>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</si>
  <si>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</si>
  <si>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</si>
  <si>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</si>
  <si>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</si>
  <si>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</si>
  <si>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</si>
  <si>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</si>
  <si>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</si>
  <si>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r>
      <rPr>
        <rFont val="Times New Roman"/>
        <color theme="1"/>
        <sz val="12.0"/>
      </rPr>
      <t>Others</t>
    </r>
    <r>
      <rPr>
        <rFont val="Times New Roman"/>
        <color theme="1"/>
        <sz val="12.0"/>
        <vertAlign val="superscript"/>
      </rPr>
      <t>&amp;</t>
    </r>
  </si>
  <si>
    <t>TOTAL PRODUCT IMPORT</t>
  </si>
  <si>
    <t>TOTAL IMPORTS</t>
  </si>
  <si>
    <t xml:space="preserve"> PRODUCT EXPORT @</t>
  </si>
  <si>
    <r>
      <rPr>
        <rFont val="Times New Roman"/>
        <color theme="1"/>
        <sz val="12.0"/>
      </rPr>
      <t>MS</t>
    </r>
    <r>
      <rPr>
        <rFont val="Times New Roman"/>
        <color theme="1"/>
        <sz val="12.0"/>
        <vertAlign val="superscript"/>
      </rPr>
      <t>!</t>
    </r>
  </si>
  <si>
    <r>
      <rPr>
        <rFont val="Times New Roman"/>
        <color theme="1"/>
        <sz val="12.0"/>
      </rPr>
      <t>ATF</t>
    </r>
    <r>
      <rPr>
        <rFont val="Times New Roman"/>
        <color theme="1"/>
        <sz val="12.0"/>
        <vertAlign val="superscript"/>
      </rPr>
      <t>#</t>
    </r>
  </si>
  <si>
    <t>LDO</t>
  </si>
  <si>
    <t>LOBS/ Lube Oil</t>
  </si>
  <si>
    <r>
      <rPr>
        <rFont val="Times New Roman"/>
        <color theme="1"/>
        <sz val="12.0"/>
      </rPr>
      <t>Others</t>
    </r>
    <r>
      <rPr>
        <rFont val="Times New Roman"/>
        <color theme="1"/>
        <sz val="12.0"/>
        <vertAlign val="superscript"/>
      </rPr>
      <t>%</t>
    </r>
  </si>
  <si>
    <t>TOTAL EXPORT</t>
  </si>
  <si>
    <t>NET IMPORT</t>
  </si>
  <si>
    <t>Net Product Export</t>
  </si>
  <si>
    <t>Source: Oil Companies &amp; DGCIS  P= Provisional</t>
  </si>
  <si>
    <t>Notes:</t>
  </si>
  <si>
    <t>RIL SEZ imports/exports included in country's import/export data</t>
  </si>
  <si>
    <t xml:space="preserve">^LNG import not included </t>
  </si>
  <si>
    <t>&amp; Others in import include Petcoke,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</si>
  <si>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</si>
  <si>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</si>
  <si>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</si>
  <si>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Petcoke/CBFS, Benzene, Hexane, MTO, Sulphur etc.</t>
  </si>
  <si>
    <t>(` Crore)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</si>
  <si>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</si>
  <si>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</si>
  <si>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</si>
  <si>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</si>
  <si>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</si>
  <si>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</si>
  <si>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</si>
  <si>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</si>
  <si>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</si>
  <si>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</si>
  <si>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</si>
  <si>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</si>
  <si>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</si>
  <si>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 xml:space="preserve"> CRUDE OIL</t>
  </si>
  <si>
    <t>PRODUCTS</t>
  </si>
  <si>
    <t>Petcoke</t>
  </si>
  <si>
    <t>Others&amp;</t>
  </si>
  <si>
    <t>PRODUCT IMPORT*</t>
  </si>
  <si>
    <t>TOTAL IMPORT</t>
  </si>
  <si>
    <t>MS!</t>
  </si>
  <si>
    <t>Naphtha$</t>
  </si>
  <si>
    <t>ATF#</t>
  </si>
  <si>
    <t>Petcoke / CBFS</t>
  </si>
  <si>
    <t>Others%</t>
  </si>
  <si>
    <t>TOTAL  PRODUCT EXPORT</t>
  </si>
  <si>
    <t>Source: Oil Companies &amp; DGCIS</t>
  </si>
  <si>
    <t>&amp; Others in import include Paraffin wax, Petroleum Jelly, Aviation Gas, MTBE, Reformate etc.</t>
  </si>
  <si>
    <t>% Others in export include Benzene, Hexane, MTO, Sulphur etc.</t>
  </si>
  <si>
    <t xml:space="preserve">2018-19 </t>
  </si>
  <si>
    <r>
      <rPr>
        <rFont val="Times New Roman"/>
        <color theme="1"/>
        <sz val="12.0"/>
      </rPr>
      <t>Others</t>
    </r>
    <r>
      <rPr>
        <rFont val="Times New Roman"/>
        <color theme="1"/>
        <sz val="12.0"/>
        <vertAlign val="superscript"/>
      </rPr>
      <t>&amp;</t>
    </r>
  </si>
  <si>
    <t>Source : Oil Companies &amp; DGCIS, (P) : Provisional</t>
  </si>
  <si>
    <t xml:space="preserve">2017-18 </t>
  </si>
  <si>
    <r>
      <rPr>
        <rFont val="Times New Roman"/>
        <b/>
        <i/>
        <color theme="1"/>
        <sz val="12.0"/>
      </rPr>
      <t>(</t>
    </r>
    <r>
      <rPr>
        <rFont val="Rupee Foradian"/>
        <b/>
        <i/>
        <color theme="1"/>
        <sz val="12.0"/>
      </rPr>
      <t>`</t>
    </r>
    <r>
      <rPr>
        <rFont val="Times New Roman"/>
        <b/>
        <i/>
        <color theme="1"/>
        <sz val="12.0"/>
      </rPr>
      <t xml:space="preserve"> Crore)</t>
    </r>
  </si>
  <si>
    <t>Others</t>
  </si>
  <si>
    <r>
      <rPr>
        <rFont val="Times New Roman"/>
        <b/>
        <color theme="1"/>
        <sz val="12.0"/>
      </rPr>
      <t xml:space="preserve"> PRODUCT EXPORT</t>
    </r>
    <r>
      <rPr>
        <rFont val="Times New Roman"/>
        <b/>
        <color theme="1"/>
        <sz val="12.0"/>
        <vertAlign val="superscript"/>
      </rPr>
      <t xml:space="preserve"> @</t>
    </r>
  </si>
  <si>
    <t>2016-17</t>
  </si>
  <si>
    <r>
      <rPr>
        <rFont val="Times New Roman"/>
        <b/>
        <i/>
        <color theme="1"/>
        <sz val="12.0"/>
      </rPr>
      <t>(</t>
    </r>
    <r>
      <rPr>
        <rFont val="Rupee Foradian"/>
        <b/>
        <i/>
        <color theme="1"/>
        <sz val="12.0"/>
      </rPr>
      <t>`</t>
    </r>
    <r>
      <rPr>
        <rFont val="Times New Roman"/>
        <b/>
        <i/>
        <color theme="1"/>
        <sz val="12.0"/>
      </rPr>
      <t xml:space="preserve"> Crore)</t>
    </r>
  </si>
  <si>
    <r>
      <rPr>
        <rFont val="Times New Roman"/>
        <b/>
        <color theme="1"/>
        <sz val="12.0"/>
      </rPr>
      <t xml:space="preserve"> PRODUCT EXPORT</t>
    </r>
    <r>
      <rPr>
        <rFont val="Times New Roman"/>
        <b/>
        <color theme="1"/>
        <sz val="12.0"/>
        <vertAlign val="superscript"/>
      </rPr>
      <t xml:space="preserve"> @</t>
    </r>
  </si>
  <si>
    <t xml:space="preserve">2015-16 </t>
  </si>
  <si>
    <t>IMPORTS^</t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</si>
  <si>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&amp;</t>
    </r>
  </si>
  <si>
    <t>PRODUCT IMPORT</t>
  </si>
  <si>
    <t>PRODUCT EXPORT</t>
  </si>
  <si>
    <r>
      <rPr>
        <rFont val="Times New Roman"/>
        <b/>
        <color theme="1"/>
        <sz val="11.0"/>
      </rPr>
      <t>PRODUCT EXPORT</t>
    </r>
    <r>
      <rPr>
        <rFont val="Times New Roman"/>
        <b/>
        <color theme="1"/>
        <sz val="11.0"/>
        <vertAlign val="superscript"/>
      </rPr>
      <t>@</t>
    </r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</si>
  <si>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%</t>
    </r>
  </si>
  <si>
    <t>TOTALPRODUCT EXPORT</t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</si>
  <si>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&amp;</t>
    </r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</si>
  <si>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%</t>
    </r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</si>
  <si>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&amp;</t>
    </r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</si>
  <si>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%</t>
    </r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</si>
  <si>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&amp;</t>
    </r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</si>
  <si>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%</t>
    </r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</si>
  <si>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&amp;</t>
    </r>
  </si>
  <si>
    <r>
      <rPr>
        <rFont val="Times New Roman"/>
        <color theme="1"/>
        <sz val="11.0"/>
      </rPr>
      <t>Others</t>
    </r>
    <r>
      <rPr>
        <rFont val="Times New Roman"/>
        <color theme="1"/>
        <sz val="11.0"/>
        <vertAlign val="superscript"/>
      </rPr>
      <t>%</t>
    </r>
  </si>
  <si>
    <t>IMPORT</t>
  </si>
  <si>
    <t>RS. Crores</t>
  </si>
  <si>
    <t>CRUDE OIL</t>
  </si>
  <si>
    <t>NAPHTHA/ NGL</t>
  </si>
  <si>
    <t>MS/ PETROL</t>
  </si>
  <si>
    <t>SKO/ KEROSENE</t>
  </si>
  <si>
    <t>HSD/ DIESEL</t>
  </si>
  <si>
    <t>LOBS/ LUBE OIL</t>
  </si>
  <si>
    <t>FUEL OIL/LSHS</t>
  </si>
  <si>
    <t>BITUMEN</t>
  </si>
  <si>
    <t>OTHERS</t>
  </si>
  <si>
    <t>EXPORT</t>
  </si>
  <si>
    <t>TOTAL PRODUCT EXPORT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</si>
</sst>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"/>
    <numFmt numFmtId="165" formatCode="#,##0.00000"/>
    <numFmt numFmtId="166" formatCode="#,##0.0"/>
    <numFmt numFmtId="167" formatCode="0.0"/>
  </numFmts>
  <fonts count="22">
    <font>
      <sz val="11.0"/>
      <color theme="1"/>
      <name val="Calibri"/>
      <scheme val="minor"/>
    </font>
    <font>
      <b/>
      <sz val="9.0"/>
      <color theme="1"/>
      <name val="Times New Roman"/>
    </font>
    <font>
      <sz val="11.0"/>
      <color theme="1"/>
      <name val="Times New Roman"/>
    </font>
    <font>
      <b/>
      <u/>
      <sz val="16.0"/>
      <color theme="1"/>
      <name val="Times New Roman"/>
    </font>
    <font>
      <b/>
      <sz val="10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i/>
      <sz val="11.0"/>
      <color theme="1"/>
      <name val="Times New Roman"/>
    </font>
    <font>
      <sz val="12.0"/>
      <color theme="1"/>
      <name val="Times New Roman"/>
    </font>
    <font>
      <i/>
      <sz val="10.0"/>
      <color theme="1"/>
      <name val="Times New Roman"/>
    </font>
    <font>
      <b/>
      <i/>
      <sz val="10.0"/>
      <color theme="1"/>
      <name val="Times New Roman"/>
    </font>
    <font>
      <sz val="10.0"/>
      <color theme="1"/>
      <name val="Times New Roman"/>
    </font>
    <font>
      <b/>
      <i/>
      <sz val="11.0"/>
      <color theme="1"/>
      <name val="Times New Roman"/>
    </font>
    <font>
      <sz val="9.0"/>
      <color theme="1"/>
      <name val="Times New Roman"/>
    </font>
    <font>
      <b/>
      <i/>
      <sz val="12.0"/>
      <color theme="1"/>
      <name val="Times New Roman"/>
    </font>
    <font>
      <b/>
      <sz val="11.0"/>
      <color theme="1"/>
      <name val="Rupee Foradian"/>
    </font>
    <font>
      <i/>
      <sz val="9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3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quotePrefix="1"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7" numFmtId="0" xfId="0" applyAlignment="1" applyFont="1">
      <alignment horizontal="right"/>
    </xf>
    <xf borderId="1" fillId="2" fontId="5" numFmtId="0" xfId="0" applyAlignment="1" applyBorder="1" applyFill="1" applyFont="1">
      <alignment horizontal="center" vertical="center"/>
    </xf>
    <xf borderId="2" fillId="0" fontId="8" numFmtId="0" xfId="0" applyBorder="1" applyFont="1"/>
    <xf borderId="3" fillId="0" fontId="8" numFmtId="0" xfId="0" applyBorder="1" applyFont="1"/>
    <xf borderId="4" fillId="2" fontId="5" numFmtId="0" xfId="0" applyAlignment="1" applyBorder="1" applyFont="1">
      <alignment horizontal="center" vertical="center"/>
    </xf>
    <xf borderId="5" fillId="3" fontId="5" numFmtId="164" xfId="0" applyAlignment="1" applyBorder="1" applyFill="1" applyFont="1" applyNumberFormat="1">
      <alignment horizontal="left" vertical="center"/>
    </xf>
    <xf quotePrefix="1" borderId="5" fillId="3" fontId="5" numFmtId="164" xfId="0" applyAlignment="1" applyBorder="1" applyFont="1" applyNumberFormat="1">
      <alignment horizontal="center" vertical="center"/>
    </xf>
    <xf borderId="5" fillId="3" fontId="5" numFmtId="164" xfId="0" applyAlignment="1" applyBorder="1" applyFont="1" applyNumberFormat="1">
      <alignment horizontal="center" vertical="center"/>
    </xf>
    <xf borderId="5" fillId="3" fontId="7" numFmtId="164" xfId="0" applyAlignment="1" applyBorder="1" applyFont="1" applyNumberFormat="1">
      <alignment vertical="center"/>
    </xf>
    <xf borderId="5" fillId="3" fontId="7" numFmtId="164" xfId="0" applyAlignment="1" applyBorder="1" applyFont="1" applyNumberFormat="1">
      <alignment horizontal="center" vertical="center"/>
    </xf>
    <xf borderId="5" fillId="4" fontId="9" numFmtId="1" xfId="0" applyAlignment="1" applyBorder="1" applyFill="1" applyFont="1" applyNumberFormat="1">
      <alignment horizontal="left"/>
    </xf>
    <xf borderId="5" fillId="0" fontId="2" numFmtId="0" xfId="0" applyBorder="1" applyFont="1"/>
    <xf borderId="5" fillId="0" fontId="10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/>
    </xf>
    <xf borderId="5" fillId="4" fontId="9" numFmtId="1" xfId="0" applyAlignment="1" applyBorder="1" applyFont="1" applyNumberFormat="1">
      <alignment horizontal="center"/>
    </xf>
    <xf borderId="5" fillId="0" fontId="7" numFmtId="3" xfId="0" applyBorder="1" applyFont="1" applyNumberFormat="1"/>
    <xf borderId="5" fillId="0" fontId="7" numFmtId="1" xfId="0" applyBorder="1" applyFont="1" applyNumberFormat="1"/>
    <xf borderId="5" fillId="4" fontId="7" numFmtId="1" xfId="0" applyAlignment="1" applyBorder="1" applyFont="1" applyNumberFormat="1">
      <alignment horizontal="right"/>
    </xf>
    <xf borderId="5" fillId="0" fontId="9" numFmtId="0" xfId="0" applyAlignment="1" applyBorder="1" applyFont="1">
      <alignment horizontal="center"/>
    </xf>
    <xf borderId="5" fillId="0" fontId="7" numFmtId="0" xfId="0" applyBorder="1" applyFont="1"/>
    <xf borderId="5" fillId="0" fontId="2" numFmtId="1" xfId="0" applyBorder="1" applyFont="1" applyNumberFormat="1"/>
    <xf borderId="5" fillId="0" fontId="11" numFmtId="0" xfId="0" applyAlignment="1" applyBorder="1" applyFont="1">
      <alignment horizontal="right"/>
    </xf>
    <xf borderId="5" fillId="0" fontId="2" numFmtId="3" xfId="0" applyBorder="1" applyFont="1" applyNumberFormat="1"/>
    <xf borderId="5" fillId="4" fontId="2" numFmtId="1" xfId="0" applyAlignment="1" applyBorder="1" applyFont="1" applyNumberFormat="1">
      <alignment horizontal="right"/>
    </xf>
    <xf borderId="5" fillId="0" fontId="7" numFmtId="3" xfId="0" applyAlignment="1" applyBorder="1" applyFont="1" applyNumberFormat="1">
      <alignment horizontal="right"/>
    </xf>
    <xf borderId="5" fillId="0" fontId="2" numFmtId="0" xfId="0" applyAlignment="1" applyBorder="1" applyFont="1">
      <alignment horizontal="right"/>
    </xf>
    <xf borderId="5" fillId="0" fontId="2" numFmtId="165" xfId="0" applyBorder="1" applyFont="1" applyNumberFormat="1"/>
    <xf borderId="5" fillId="4" fontId="11" numFmtId="1" xfId="0" applyAlignment="1" applyBorder="1" applyFont="1" applyNumberFormat="1">
      <alignment horizontal="right"/>
    </xf>
    <xf borderId="5" fillId="5" fontId="2" numFmtId="1" xfId="0" applyAlignment="1" applyBorder="1" applyFill="1" applyFont="1" applyNumberFormat="1">
      <alignment horizontal="right"/>
    </xf>
    <xf borderId="5" fillId="4" fontId="11" numFmtId="3" xfId="0" applyAlignment="1" applyBorder="1" applyFont="1" applyNumberFormat="1">
      <alignment horizontal="right"/>
    </xf>
    <xf borderId="5" fillId="0" fontId="2" numFmtId="166" xfId="0" applyBorder="1" applyFont="1" applyNumberFormat="1"/>
    <xf borderId="5" fillId="5" fontId="2" numFmtId="167" xfId="0" applyAlignment="1" applyBorder="1" applyFont="1" applyNumberFormat="1">
      <alignment horizontal="right"/>
    </xf>
    <xf borderId="6" fillId="0" fontId="12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0" fillId="0" fontId="12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quotePrefix="1" borderId="0" fillId="0" fontId="12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0" fontId="14" numFmtId="0" xfId="0" applyFont="1"/>
    <xf quotePrefix="1" borderId="0" fillId="0" fontId="5" numFmtId="0" xfId="0" applyAlignment="1" applyFont="1">
      <alignment horizontal="center"/>
    </xf>
    <xf borderId="0" fillId="0" fontId="6" numFmtId="15" xfId="0" applyFont="1" applyNumberFormat="1"/>
    <xf borderId="0" fillId="0" fontId="15" numFmtId="0" xfId="0" applyAlignment="1" applyFont="1">
      <alignment horizontal="right"/>
    </xf>
    <xf borderId="8" fillId="2" fontId="5" numFmtId="0" xfId="0" applyAlignment="1" applyBorder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5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vertical="center"/>
    </xf>
    <xf borderId="5" fillId="4" fontId="4" numFmtId="1" xfId="0" applyAlignment="1" applyBorder="1" applyFont="1" applyNumberFormat="1">
      <alignment horizontal="center"/>
    </xf>
    <xf borderId="5" fillId="4" fontId="2" numFmtId="3" xfId="0" applyAlignment="1" applyBorder="1" applyFont="1" applyNumberFormat="1">
      <alignment horizontal="right"/>
    </xf>
    <xf borderId="5" fillId="6" fontId="9" numFmtId="0" xfId="0" applyAlignment="1" applyBorder="1" applyFill="1" applyFont="1">
      <alignment horizontal="center"/>
    </xf>
    <xf borderId="5" fillId="6" fontId="7" numFmtId="1" xfId="0" applyAlignment="1" applyBorder="1" applyFont="1" applyNumberFormat="1">
      <alignment horizontal="right"/>
    </xf>
    <xf borderId="5" fillId="6" fontId="9" numFmtId="0" xfId="0" applyBorder="1" applyFont="1"/>
    <xf borderId="5" fillId="6" fontId="9" numFmtId="0" xfId="0" applyAlignment="1" applyBorder="1" applyFont="1">
      <alignment horizontal="right"/>
    </xf>
    <xf borderId="6" fillId="0" fontId="12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6" fillId="0" fontId="12" numFmtId="0" xfId="0" applyAlignment="1" applyBorder="1" applyFont="1">
      <alignment horizontal="left" shrinkToFit="0" vertical="center" wrapText="1"/>
    </xf>
    <xf borderId="0" fillId="0" fontId="12" numFmtId="1" xfId="0" applyAlignment="1" applyFont="1" applyNumberFormat="1">
      <alignment horizontal="left" shrinkToFit="0" vertical="center" wrapText="1"/>
    </xf>
    <xf borderId="0" fillId="0" fontId="16" numFmtId="0" xfId="0" applyFont="1"/>
    <xf borderId="0" fillId="0" fontId="17" numFmtId="0" xfId="0" applyAlignment="1" applyFont="1">
      <alignment horizontal="right"/>
    </xf>
    <xf borderId="0" fillId="0" fontId="14" numFmtId="164" xfId="0" applyAlignment="1" applyFont="1" applyNumberFormat="1">
      <alignment vertical="center"/>
    </xf>
    <xf borderId="0" fillId="0" fontId="12" numFmtId="0" xfId="0" applyFont="1"/>
    <xf borderId="0" fillId="0" fontId="12" numFmtId="0" xfId="0" applyAlignment="1" applyFont="1">
      <alignment shrinkToFit="0" vertical="top" wrapText="1"/>
    </xf>
    <xf borderId="0" fillId="0" fontId="12" numFmtId="1" xfId="0" applyAlignment="1" applyFont="1" applyNumberFormat="1">
      <alignment shrinkToFit="0" vertical="top" wrapText="1"/>
    </xf>
    <xf borderId="0" fillId="0" fontId="12" numFmtId="1" xfId="0" applyFont="1" applyNumberFormat="1"/>
    <xf borderId="0" fillId="0" fontId="14" numFmtId="1" xfId="0" applyFont="1" applyNumberFormat="1"/>
    <xf borderId="11" fillId="0" fontId="12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/>
    </xf>
    <xf borderId="0" fillId="0" fontId="2" numFmtId="15" xfId="0" applyFont="1" applyNumberFormat="1"/>
    <xf borderId="5" fillId="3" fontId="7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vertical="center"/>
    </xf>
    <xf borderId="5" fillId="0" fontId="7" numFmtId="0" xfId="0" applyAlignment="1" applyBorder="1" applyFont="1">
      <alignment horizontal="center"/>
    </xf>
    <xf borderId="5" fillId="4" fontId="7" numFmtId="0" xfId="0" applyAlignment="1" applyBorder="1" applyFont="1">
      <alignment horizontal="center" vertical="center"/>
    </xf>
    <xf borderId="0" fillId="0" fontId="10" numFmtId="1" xfId="0" applyAlignment="1" applyFont="1" applyNumberFormat="1">
      <alignment shrinkToFit="0" vertical="top" wrapText="1"/>
    </xf>
    <xf borderId="0" fillId="0" fontId="10" numFmtId="0" xfId="0" applyFont="1"/>
    <xf borderId="5" fillId="4" fontId="7" numFmtId="1" xfId="0" applyAlignment="1" applyBorder="1" applyFont="1" applyNumberFormat="1">
      <alignment horizontal="center"/>
    </xf>
    <xf borderId="5" fillId="6" fontId="7" numFmtId="0" xfId="0" applyAlignment="1" applyBorder="1" applyFont="1">
      <alignment horizontal="right"/>
    </xf>
    <xf borderId="5" fillId="6" fontId="7" numFmtId="0" xfId="0" applyBorder="1" applyFont="1"/>
    <xf borderId="5" fillId="0" fontId="2" numFmtId="1" xfId="0" applyAlignment="1" applyBorder="1" applyFont="1" applyNumberFormat="1">
      <alignment horizontal="right"/>
    </xf>
    <xf borderId="0" fillId="0" fontId="2" numFmtId="1" xfId="0" applyFont="1" applyNumberFormat="1"/>
    <xf borderId="1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/>
    </xf>
    <xf borderId="0" fillId="0" fontId="18" numFmtId="0" xfId="0" applyAlignment="1" applyFont="1">
      <alignment horizontal="right"/>
    </xf>
    <xf borderId="5" fillId="4" fontId="1" numFmtId="1" xfId="0" applyAlignment="1" applyBorder="1" applyFont="1" applyNumberFormat="1">
      <alignment horizontal="center"/>
    </xf>
    <xf borderId="5" fillId="0" fontId="19" numFmtId="0" xfId="0" applyAlignment="1" applyBorder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19" numFmtId="0" xfId="0" applyFont="1"/>
    <xf borderId="5" fillId="4" fontId="2" numFmtId="1" xfId="0" applyBorder="1" applyFont="1" applyNumberFormat="1"/>
    <xf borderId="5" fillId="4" fontId="7" numFmtId="1" xfId="0" applyBorder="1" applyFont="1" applyNumberFormat="1"/>
    <xf borderId="12" fillId="4" fontId="2" numFmtId="1" xfId="0" applyBorder="1" applyFont="1" applyNumberFormat="1"/>
    <xf borderId="5" fillId="4" fontId="7" numFmtId="1" xfId="0" applyAlignment="1" applyBorder="1" applyFont="1" applyNumberFormat="1">
      <alignment horizontal="left"/>
    </xf>
    <xf borderId="0" fillId="0" fontId="16" numFmtId="1" xfId="0" applyFont="1" applyNumberFormat="1"/>
    <xf borderId="10" fillId="0" fontId="1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0" fillId="0" fontId="16" numFmtId="164" xfId="0" applyAlignment="1" applyFont="1" applyNumberFormat="1">
      <alignment vertical="center"/>
    </xf>
    <xf borderId="5" fillId="4" fontId="9" numFmtId="1" xfId="0" applyAlignment="1" applyBorder="1" applyFont="1" applyNumberFormat="1">
      <alignment horizontal="right"/>
    </xf>
    <xf borderId="10" fillId="0" fontId="4" numFmtId="0" xfId="0" applyAlignment="1" applyBorder="1" applyFont="1">
      <alignment shrinkToFit="0" vertical="top" wrapText="1"/>
    </xf>
    <xf borderId="0" fillId="0" fontId="14" numFmtId="15" xfId="0" applyFont="1" applyNumberFormat="1"/>
    <xf borderId="0" fillId="0" fontId="1" numFmtId="0" xfId="0" applyAlignment="1" applyFont="1">
      <alignment horizontal="center"/>
    </xf>
    <xf borderId="4" fillId="4" fontId="16" numFmtId="0" xfId="0" applyBorder="1" applyFont="1"/>
    <xf borderId="0" fillId="0" fontId="20" numFmtId="0" xfId="0" applyFont="1"/>
    <xf borderId="0" fillId="0" fontId="2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817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0</xdr:row>
      <xdr:rowOff>38100</xdr:rowOff>
    </xdr:from>
    <xdr:ext cx="7143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0</xdr:row>
      <xdr:rowOff>38100</xdr:rowOff>
    </xdr:from>
    <xdr:ext cx="7143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6381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638175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71437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609600" cy="466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600075" cy="6096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7.0"/>
    <col customWidth="1" min="2" max="18" width="12.71"/>
    <col customWidth="1" min="19" max="19" width="14.29"/>
    <col customWidth="1" min="20" max="20" width="15.0"/>
    <col customWidth="1" min="21" max="21" width="12.14"/>
    <col customWidth="1" min="22" max="22" width="14.86"/>
    <col customWidth="1" min="23" max="23" width="15.57"/>
    <col customWidth="1" min="24" max="24" width="13.0"/>
    <col customWidth="1" min="25" max="26" width="15.29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3" t="s">
        <v>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2"/>
      <c r="C4" s="2"/>
      <c r="D4" s="2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</v>
      </c>
      <c r="B5" s="7"/>
      <c r="C5" s="7"/>
      <c r="D5" s="7"/>
      <c r="E5" s="5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"/>
      <c r="U5" s="2"/>
      <c r="V5" s="2"/>
      <c r="W5" s="2"/>
      <c r="X5" s="2"/>
      <c r="Y5" s="2"/>
      <c r="Z5" s="2"/>
    </row>
    <row r="6">
      <c r="A6" s="8" t="s">
        <v>2</v>
      </c>
    </row>
    <row r="7">
      <c r="A7" s="9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  <c r="Y7" s="12"/>
      <c r="Z7" s="12"/>
    </row>
    <row r="8">
      <c r="A8" s="13" t="s">
        <v>4</v>
      </c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4" t="s">
        <v>10</v>
      </c>
      <c r="H8" s="14" t="s">
        <v>11</v>
      </c>
      <c r="I8" s="14" t="s">
        <v>12</v>
      </c>
      <c r="J8" s="14" t="s">
        <v>13</v>
      </c>
      <c r="K8" s="14" t="s">
        <v>14</v>
      </c>
      <c r="L8" s="14" t="s">
        <v>15</v>
      </c>
      <c r="M8" s="14" t="s">
        <v>16</v>
      </c>
      <c r="N8" s="14" t="s">
        <v>17</v>
      </c>
      <c r="O8" s="14" t="s">
        <v>18</v>
      </c>
      <c r="P8" s="14" t="s">
        <v>19</v>
      </c>
      <c r="Q8" s="14" t="s">
        <v>20</v>
      </c>
      <c r="R8" s="14" t="s">
        <v>21</v>
      </c>
      <c r="S8" s="14" t="s">
        <v>22</v>
      </c>
      <c r="T8" s="15" t="str">
        <f>+'PT_Import_Val_2016-17 '!C5</f>
        <v>2016-17</v>
      </c>
      <c r="U8" s="16" t="str">
        <f>'PT_Import_Val_2017-18'!C5</f>
        <v>2017-18 </v>
      </c>
      <c r="V8" s="17" t="s">
        <v>23</v>
      </c>
      <c r="W8" s="17" t="s">
        <v>24</v>
      </c>
      <c r="X8" s="17" t="s">
        <v>25</v>
      </c>
      <c r="Y8" s="17" t="s">
        <v>26</v>
      </c>
      <c r="Z8" s="17" t="s">
        <v>27</v>
      </c>
    </row>
    <row r="9">
      <c r="A9" s="18" t="s">
        <v>28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19"/>
      <c r="Q9" s="19"/>
      <c r="R9" s="19"/>
      <c r="S9" s="19"/>
      <c r="T9" s="19"/>
      <c r="U9" s="19"/>
      <c r="V9" s="21"/>
      <c r="W9" s="19"/>
      <c r="X9" s="19"/>
      <c r="Y9" s="19"/>
      <c r="Z9" s="19"/>
    </row>
    <row r="10">
      <c r="A10" s="22" t="s">
        <v>29</v>
      </c>
      <c r="B10" s="23">
        <v>14917.0</v>
      </c>
      <c r="C10" s="23">
        <v>40028.0</v>
      </c>
      <c r="D10" s="23">
        <v>65932.0</v>
      </c>
      <c r="E10" s="23">
        <v>60397.0</v>
      </c>
      <c r="F10" s="23">
        <v>76195.0</v>
      </c>
      <c r="G10" s="23">
        <v>83528.0</v>
      </c>
      <c r="H10" s="23">
        <v>117003.0</v>
      </c>
      <c r="I10" s="23">
        <v>171702.0</v>
      </c>
      <c r="J10" s="23">
        <v>219029.0</v>
      </c>
      <c r="K10" s="23">
        <v>272699.0</v>
      </c>
      <c r="L10" s="24">
        <v>348304.0</v>
      </c>
      <c r="M10" s="24">
        <v>375277.0</v>
      </c>
      <c r="N10" s="24">
        <v>455276.3</v>
      </c>
      <c r="O10" s="25">
        <f>+'PT_IMPORT_VALRS_H 2011-12'!N11</f>
        <v>672219.8422</v>
      </c>
      <c r="P10" s="24">
        <f>+'PT_IMPORT_VALRS_H 2012-13 '!N11</f>
        <v>784652.2794</v>
      </c>
      <c r="Q10" s="24">
        <f>+'PT_IMPORT_VALRS_H_2013-14'!N11</f>
        <v>864874.7796</v>
      </c>
      <c r="R10" s="24">
        <f>+'PT_IMPORT_VALRS_H_2014-15'!N11</f>
        <v>687416.1743</v>
      </c>
      <c r="S10" s="24">
        <f>+'PT_IMPORT_VALRS_H_2015-16'!N11</f>
        <v>416578.845</v>
      </c>
      <c r="T10" s="24">
        <f>+'PT_Import_Val_2016-17 '!P10</f>
        <v>470159.3179</v>
      </c>
      <c r="U10" s="24">
        <f>'PT_Import_Val_2017-18'!P10</f>
        <v>566450.1481</v>
      </c>
      <c r="V10" s="24">
        <f>'PT_Import_Val_2018-19'!N11</f>
        <v>783182.8501</v>
      </c>
      <c r="W10" s="24">
        <f>'PT_Import_Val_2019-20'!N11</f>
        <v>717000.9752</v>
      </c>
      <c r="X10" s="24">
        <f>'PT_Import_Val_2020-21'!N11</f>
        <v>459778.5692</v>
      </c>
      <c r="Y10" s="24">
        <f>'PT_Import_Val_2021-22'!N11</f>
        <v>901262.192</v>
      </c>
      <c r="Z10" s="24">
        <f>'PT_Import_Val_2022-23'!N11</f>
        <v>1260371.824</v>
      </c>
    </row>
    <row r="11">
      <c r="A11" s="26" t="s">
        <v>30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5"/>
      <c r="P11" s="24"/>
      <c r="Q11" s="24"/>
      <c r="R11" s="24"/>
      <c r="S11" s="27"/>
      <c r="T11" s="28"/>
      <c r="U11" s="19"/>
      <c r="V11" s="28"/>
      <c r="W11" s="19"/>
      <c r="X11" s="19"/>
      <c r="Y11" s="19"/>
      <c r="Z11" s="24"/>
    </row>
    <row r="12">
      <c r="A12" s="29" t="s">
        <v>31</v>
      </c>
      <c r="B12" s="30">
        <v>1273.0</v>
      </c>
      <c r="C12" s="30">
        <v>1801.0</v>
      </c>
      <c r="D12" s="30">
        <v>1332.0</v>
      </c>
      <c r="E12" s="30">
        <v>810.0</v>
      </c>
      <c r="F12" s="30">
        <v>1867.0</v>
      </c>
      <c r="G12" s="30">
        <v>2558.0</v>
      </c>
      <c r="H12" s="30">
        <v>4413.0</v>
      </c>
      <c r="I12" s="30">
        <v>7042.0</v>
      </c>
      <c r="J12" s="30">
        <v>5766.0</v>
      </c>
      <c r="K12" s="30">
        <v>8700.0</v>
      </c>
      <c r="L12" s="30">
        <v>8072.0</v>
      </c>
      <c r="M12" s="30">
        <v>8328.821772963733</v>
      </c>
      <c r="N12" s="30">
        <v>15888.160885717376</v>
      </c>
      <c r="O12" s="31">
        <f>+'PT_IMPORT_VALRS_H 2011-12'!N13</f>
        <v>27018.53026</v>
      </c>
      <c r="P12" s="28">
        <f>+'PT_IMPORT_VALRS_H 2012-13 '!N13</f>
        <v>31674.1884</v>
      </c>
      <c r="Q12" s="28">
        <f>+'PT_IMPORT_VALRS_H_2013-14'!N13</f>
        <v>37213.08776</v>
      </c>
      <c r="R12" s="28">
        <f>+'PT_IMPORT_VALRS_H_2014-15'!N13</f>
        <v>36570.54677</v>
      </c>
      <c r="S12" s="28">
        <f>+'PT_IMPORT_VALRS_H_2015-16'!N13</f>
        <v>25777.83948</v>
      </c>
      <c r="T12" s="28">
        <f>+'PT_Import_Val_2016-17 '!P12</f>
        <v>32124.41923</v>
      </c>
      <c r="U12" s="28">
        <f>'PT_Import_Val_2017-18'!P12</f>
        <v>37875.19716</v>
      </c>
      <c r="V12" s="28">
        <f>'PT_Import_Val_2018-19'!N13</f>
        <v>49939.04285</v>
      </c>
      <c r="W12" s="28">
        <f>'PT_Import_Val_2019-20'!N13</f>
        <v>50347.4528</v>
      </c>
      <c r="X12" s="28">
        <f>'PT_Import_Val_2020-21'!N13</f>
        <v>53752.45855</v>
      </c>
      <c r="Y12" s="28">
        <f>'PT_Import_Val_2021-22'!N13</f>
        <v>91468.39768</v>
      </c>
      <c r="Z12" s="28">
        <f>'PT_Import_Val_2022-23'!N13</f>
        <v>107191.168</v>
      </c>
    </row>
    <row r="13">
      <c r="A13" s="29" t="s">
        <v>32</v>
      </c>
      <c r="B13" s="30">
        <v>191.0</v>
      </c>
      <c r="C13" s="30">
        <v>0.0</v>
      </c>
      <c r="D13" s="30">
        <v>0.0</v>
      </c>
      <c r="E13" s="30">
        <v>0.0</v>
      </c>
      <c r="F13" s="30">
        <v>0.0</v>
      </c>
      <c r="G13" s="30">
        <v>0.0</v>
      </c>
      <c r="H13" s="30">
        <v>501.0</v>
      </c>
      <c r="I13" s="30">
        <v>1286.0</v>
      </c>
      <c r="J13" s="30">
        <v>1326.0</v>
      </c>
      <c r="K13" s="30">
        <v>1137.0</v>
      </c>
      <c r="L13" s="30">
        <v>1553.0</v>
      </c>
      <c r="M13" s="30">
        <v>1264.0710708002139</v>
      </c>
      <c r="N13" s="30">
        <v>6426.603981121239</v>
      </c>
      <c r="O13" s="31">
        <f>+'PT_IMPORT_VALRS_H 2011-12'!N14</f>
        <v>3311.482293</v>
      </c>
      <c r="P13" s="28">
        <f>+'PT_IMPORT_VALRS_H 2012-13 '!N14</f>
        <v>890.5109929</v>
      </c>
      <c r="Q13" s="28">
        <f>+'PT_IMPORT_VALRS_H_2013-14'!N14</f>
        <v>1481.011769</v>
      </c>
      <c r="R13" s="28">
        <f>+'PT_IMPORT_VALRS_H_2014-15'!N14</f>
        <v>2301.151924</v>
      </c>
      <c r="S13" s="28">
        <f>+'PT_IMPORT_VALRS_H_2015-16'!N14</f>
        <v>4207.44281</v>
      </c>
      <c r="T13" s="28">
        <f>+'PT_Import_Val_2016-17 '!P13</f>
        <v>1617.146079</v>
      </c>
      <c r="U13" s="28">
        <f>'PT_Import_Val_2017-18'!P13</f>
        <v>581.4980852</v>
      </c>
      <c r="V13" s="28">
        <f>'PT_Import_Val_2018-19'!N14</f>
        <v>3103.930634</v>
      </c>
      <c r="W13" s="28">
        <f>'PT_Import_Val_2019-20'!N14</f>
        <v>9610.036686</v>
      </c>
      <c r="X13" s="28">
        <f>'PT_Import_Val_2020-21'!N14</f>
        <v>4949.625237</v>
      </c>
      <c r="Y13" s="28">
        <f>'PT_Import_Val_2021-22'!N14</f>
        <v>3894.802989</v>
      </c>
      <c r="Z13" s="28">
        <f>'PT_Import_Val_2022-23'!N14</f>
        <v>8846.455384</v>
      </c>
    </row>
    <row r="14">
      <c r="A14" s="29" t="s">
        <v>33</v>
      </c>
      <c r="B14" s="30">
        <v>1336.0</v>
      </c>
      <c r="C14" s="30">
        <v>1965.0</v>
      </c>
      <c r="D14" s="30">
        <v>4106.0</v>
      </c>
      <c r="E14" s="30">
        <v>3477.0</v>
      </c>
      <c r="F14" s="30">
        <v>3551.0</v>
      </c>
      <c r="G14" s="30">
        <v>2884.0</v>
      </c>
      <c r="H14" s="30">
        <v>4029.0</v>
      </c>
      <c r="I14" s="30">
        <v>5400.0</v>
      </c>
      <c r="J14" s="30">
        <v>14277.0</v>
      </c>
      <c r="K14" s="30">
        <v>18470.0</v>
      </c>
      <c r="L14" s="30">
        <v>17409.0</v>
      </c>
      <c r="M14" s="30">
        <v>4942.238371498102</v>
      </c>
      <c r="N14" s="30">
        <v>6852.983981035588</v>
      </c>
      <c r="O14" s="31">
        <f>+'PT_IMPORT_VALRS_H 2011-12'!N15</f>
        <v>9827.436432</v>
      </c>
      <c r="P14" s="28">
        <f>+'PT_IMPORT_VALRS_H 2012-13 '!N15</f>
        <v>9272.11326</v>
      </c>
      <c r="Q14" s="28">
        <f>+'PT_IMPORT_VALRS_H_2013-14'!N15</f>
        <v>6044.083464</v>
      </c>
      <c r="R14" s="28">
        <f>+'PT_IMPORT_VALRS_H_2014-15'!N15</f>
        <v>4592.039224</v>
      </c>
      <c r="S14" s="28">
        <f>+'PT_IMPORT_VALRS_H_2015-16'!N15</f>
        <v>9580.603094</v>
      </c>
      <c r="T14" s="28">
        <f>+'PT_Import_Val_2016-17 '!P14</f>
        <v>8373.94851</v>
      </c>
      <c r="U14" s="28">
        <f>'PT_Import_Val_2017-18'!P14</f>
        <v>8161.212494</v>
      </c>
      <c r="V14" s="28">
        <f>'PT_Import_Val_2018-19'!N15</f>
        <v>9665.377199</v>
      </c>
      <c r="W14" s="28">
        <f>'PT_Import_Val_2019-20'!N15</f>
        <v>6677.727709</v>
      </c>
      <c r="X14" s="28">
        <f>'PT_Import_Val_2020-21'!N15</f>
        <v>3844.043626</v>
      </c>
      <c r="Y14" s="28">
        <f>'PT_Import_Val_2021-22'!N15</f>
        <v>1498.795484</v>
      </c>
      <c r="Z14" s="28">
        <f>'PT_Import_Val_2022-23'!N15</f>
        <v>4781.331343</v>
      </c>
    </row>
    <row r="15">
      <c r="A15" s="29" t="s">
        <v>34</v>
      </c>
      <c r="B15" s="30">
        <v>0.0</v>
      </c>
      <c r="C15" s="30">
        <v>0.0</v>
      </c>
      <c r="D15" s="30">
        <v>0.0</v>
      </c>
      <c r="E15" s="30">
        <v>0.0</v>
      </c>
      <c r="F15" s="30">
        <v>0.0</v>
      </c>
      <c r="G15" s="30">
        <v>0.0</v>
      </c>
      <c r="H15" s="30">
        <v>0.0</v>
      </c>
      <c r="I15" s="30">
        <v>0.0</v>
      </c>
      <c r="J15" s="30">
        <v>0.0</v>
      </c>
      <c r="K15" s="30">
        <v>0.0</v>
      </c>
      <c r="L15" s="30">
        <v>0.0</v>
      </c>
      <c r="M15" s="30"/>
      <c r="N15" s="30">
        <v>0.0</v>
      </c>
      <c r="O15" s="30">
        <v>0.0</v>
      </c>
      <c r="P15" s="30">
        <v>0.0</v>
      </c>
      <c r="Q15" s="30">
        <v>0.0</v>
      </c>
      <c r="R15" s="28">
        <f>+'PT_IMPORT_VALRS_H_2014-15'!N16</f>
        <v>706.0812758</v>
      </c>
      <c r="S15" s="28">
        <f>+'PT_IMPORT_VALRS_H_2015-16'!N16</f>
        <v>888.8044949</v>
      </c>
      <c r="T15" s="28">
        <f>+'PT_Import_Val_2016-17 '!P15</f>
        <v>1108.951153</v>
      </c>
      <c r="U15" s="28">
        <f>'PT_Import_Val_2017-18'!P15</f>
        <v>1159.312153</v>
      </c>
      <c r="V15" s="28">
        <f>'PT_Import_Val_2018-19'!N16</f>
        <v>1392.462865</v>
      </c>
      <c r="W15" s="28">
        <f>'PT_Import_Val_2019-20'!N16</f>
        <v>308.6546936</v>
      </c>
      <c r="X15" s="28">
        <f>'PT_Import_Val_2020-21'!N16</f>
        <v>0.0086963</v>
      </c>
      <c r="Y15" s="28">
        <f>'PT_Import_Val_2021-22'!N16</f>
        <v>0</v>
      </c>
      <c r="Z15" s="28">
        <f>'PT_Import_Val_2022-23'!N16</f>
        <v>0.0013425</v>
      </c>
    </row>
    <row r="16">
      <c r="A16" s="29" t="s">
        <v>35</v>
      </c>
      <c r="B16" s="30">
        <v>3912.0</v>
      </c>
      <c r="C16" s="30">
        <v>5544.0</v>
      </c>
      <c r="D16" s="30">
        <v>2386.0</v>
      </c>
      <c r="E16" s="30">
        <v>388.0</v>
      </c>
      <c r="F16" s="30">
        <v>808.0</v>
      </c>
      <c r="G16" s="30">
        <v>890.0</v>
      </c>
      <c r="H16" s="30">
        <v>429.0</v>
      </c>
      <c r="I16" s="30">
        <v>2617.0</v>
      </c>
      <c r="J16" s="30">
        <v>4250.0</v>
      </c>
      <c r="K16" s="30">
        <v>8324.0</v>
      </c>
      <c r="L16" s="30">
        <v>6583.0</v>
      </c>
      <c r="M16" s="30">
        <v>2908.81266801296</v>
      </c>
      <c r="N16" s="30">
        <v>4939.415026441116</v>
      </c>
      <c r="O16" s="31">
        <f>+'PT_IMPORT_VALRS_H 2011-12'!N17</f>
        <v>2710.358225</v>
      </c>
      <c r="P16" s="28">
        <f>+'PT_IMPORT_VALRS_H 2012-13 '!N17</f>
        <v>0</v>
      </c>
      <c r="Q16" s="28">
        <f>+'PT_IMPORT_VALRS_H_2013-14'!N17</f>
        <v>0</v>
      </c>
      <c r="R16" s="28">
        <f>+'PT_IMPORT_VALRS_H_2014-15'!N17</f>
        <v>171.7102752</v>
      </c>
      <c r="S16" s="28">
        <f>+'PT_IMPORT_VALRS_H_2015-16'!N17</f>
        <v>158.1207263</v>
      </c>
      <c r="T16" s="28">
        <f>+'PT_Import_Val_2016-17 '!P16</f>
        <v>0</v>
      </c>
      <c r="U16" s="28">
        <f>'PT_Import_Val_2017-18'!P16</f>
        <v>0</v>
      </c>
      <c r="V16" s="28">
        <f>'PT_Import_Val_2018-19'!N17</f>
        <v>0</v>
      </c>
      <c r="W16" s="28">
        <f>'PT_Import_Val_2019-20'!N17</f>
        <v>0</v>
      </c>
      <c r="X16" s="28">
        <f>'PT_Import_Val_2020-21'!N17</f>
        <v>12.1374985</v>
      </c>
      <c r="Y16" s="28">
        <f>'PT_Import_Val_2021-22'!N17</f>
        <v>0</v>
      </c>
      <c r="Z16" s="28">
        <f>'PT_Import_Val_2022-23'!N17</f>
        <v>0</v>
      </c>
    </row>
    <row r="17">
      <c r="A17" s="29" t="s">
        <v>36</v>
      </c>
      <c r="B17" s="30">
        <v>4808.0</v>
      </c>
      <c r="C17" s="30">
        <v>3713.0</v>
      </c>
      <c r="D17" s="30">
        <v>0.0</v>
      </c>
      <c r="E17" s="30">
        <v>28.0</v>
      </c>
      <c r="F17" s="30">
        <v>119.0</v>
      </c>
      <c r="G17" s="30">
        <v>116.0</v>
      </c>
      <c r="H17" s="30">
        <v>1604.0</v>
      </c>
      <c r="I17" s="30">
        <v>1902.0</v>
      </c>
      <c r="J17" s="30">
        <v>2670.0</v>
      </c>
      <c r="K17" s="30">
        <v>9212.0</v>
      </c>
      <c r="L17" s="30">
        <v>9774.0</v>
      </c>
      <c r="M17" s="30">
        <v>6389.733571728817</v>
      </c>
      <c r="N17" s="30">
        <v>6969.002380939078</v>
      </c>
      <c r="O17" s="31">
        <f>+'PT_IMPORT_VALRS_H 2011-12'!N18</f>
        <v>5039.256907</v>
      </c>
      <c r="P17" s="28">
        <f>+'PT_IMPORT_VALRS_H 2012-13 '!N18</f>
        <v>2770.947241</v>
      </c>
      <c r="Q17" s="28">
        <f>+'PT_IMPORT_VALRS_H_2013-14'!N18</f>
        <v>451.6756224</v>
      </c>
      <c r="R17" s="28">
        <f>+'PT_IMPORT_VALRS_H_2014-15'!N18</f>
        <v>669.5491605</v>
      </c>
      <c r="S17" s="28">
        <f>+'PT_IMPORT_VALRS_H_2015-16'!N18</f>
        <v>605.1943778</v>
      </c>
      <c r="T17" s="28">
        <f>+'PT_Import_Val_2016-17 '!P17</f>
        <v>2958.835675</v>
      </c>
      <c r="U17" s="28">
        <f>'PT_Import_Val_2017-18'!P17</f>
        <v>4268.757173</v>
      </c>
      <c r="V17" s="28">
        <f>'PT_Import_Val_2018-19'!N18</f>
        <v>2485.765947</v>
      </c>
      <c r="W17" s="28">
        <f>'PT_Import_Val_2019-20'!N18</f>
        <v>11619.04937</v>
      </c>
      <c r="X17" s="28">
        <f>'PT_Import_Val_2020-21'!N18</f>
        <v>1960.042982</v>
      </c>
      <c r="Y17" s="28">
        <f>'PT_Import_Val_2021-22'!N18</f>
        <v>252.9860392</v>
      </c>
      <c r="Z17" s="28">
        <f>'PT_Import_Val_2022-23'!N18</f>
        <v>3584.041482</v>
      </c>
    </row>
    <row r="18">
      <c r="A18" s="29" t="s">
        <v>37</v>
      </c>
      <c r="B18" s="30">
        <v>148.0</v>
      </c>
      <c r="C18" s="30">
        <v>294.0</v>
      </c>
      <c r="D18" s="30">
        <v>563.0</v>
      </c>
      <c r="E18" s="30">
        <v>588.0</v>
      </c>
      <c r="F18" s="30">
        <v>526.0</v>
      </c>
      <c r="G18" s="30">
        <v>982.0</v>
      </c>
      <c r="H18" s="30">
        <v>963.0</v>
      </c>
      <c r="I18" s="30">
        <v>2945.0</v>
      </c>
      <c r="J18" s="30">
        <v>3392.0</v>
      </c>
      <c r="K18" s="30">
        <v>3402.0</v>
      </c>
      <c r="L18" s="30">
        <v>4552.0</v>
      </c>
      <c r="M18" s="30">
        <v>3518.18875806726</v>
      </c>
      <c r="N18" s="30">
        <v>4093.335588137499</v>
      </c>
      <c r="O18" s="31">
        <f>+'PT_IMPORT_VALRS_H 2011-12'!N19</f>
        <v>8313.631831</v>
      </c>
      <c r="P18" s="28">
        <f>+'PT_IMPORT_VALRS_H 2012-13 '!N19</f>
        <v>11339.25273</v>
      </c>
      <c r="Q18" s="28">
        <f>+'PT_IMPORT_VALRS_H_2013-14'!N19</f>
        <v>12984.51882</v>
      </c>
      <c r="R18" s="28">
        <f>+'PT_IMPORT_VALRS_H_2014-15'!N19</f>
        <v>12701.52707</v>
      </c>
      <c r="S18" s="28">
        <f>+'PT_IMPORT_VALRS_H_2015-16'!N19</f>
        <v>9477.680732</v>
      </c>
      <c r="T18" s="28">
        <f>+'PT_Import_Val_2016-17 '!P18</f>
        <v>8625.284543</v>
      </c>
      <c r="U18" s="28">
        <f>'PT_Import_Val_2017-18'!P18</f>
        <v>12074.6399</v>
      </c>
      <c r="V18" s="28">
        <f>'PT_Import_Val_2018-19'!N19</f>
        <v>13349.24661</v>
      </c>
      <c r="W18" s="28">
        <f>'PT_Import_Val_2019-20'!N19</f>
        <v>11868.74408</v>
      </c>
      <c r="X18" s="28">
        <f>'PT_Import_Val_2020-21'!N19</f>
        <v>12170.25296</v>
      </c>
      <c r="Y18" s="28">
        <f>'PT_Import_Val_2021-22'!N19</f>
        <v>19704.25384</v>
      </c>
      <c r="Z18" s="28">
        <f>'PT_Import_Val_2022-23'!N19</f>
        <v>18449.36754</v>
      </c>
    </row>
    <row r="19">
      <c r="A19" s="29" t="s">
        <v>38</v>
      </c>
      <c r="B19" s="30">
        <v>602.0</v>
      </c>
      <c r="C19" s="30">
        <v>865.0</v>
      </c>
      <c r="D19" s="30">
        <v>1309.0</v>
      </c>
      <c r="E19" s="30">
        <v>1466.0</v>
      </c>
      <c r="F19" s="30">
        <v>1959.0</v>
      </c>
      <c r="G19" s="30">
        <v>1550.0</v>
      </c>
      <c r="H19" s="30">
        <v>1704.0</v>
      </c>
      <c r="I19" s="30">
        <v>2999.0</v>
      </c>
      <c r="J19" s="30">
        <v>5174.0</v>
      </c>
      <c r="K19" s="30">
        <v>7485.0</v>
      </c>
      <c r="L19" s="30">
        <v>7729.0</v>
      </c>
      <c r="M19" s="30">
        <v>1935.4662850423301</v>
      </c>
      <c r="N19" s="30">
        <v>2455.3674291006528</v>
      </c>
      <c r="O19" s="31">
        <f>+'PT_IMPORT_VALRS_H 2011-12'!N20</f>
        <v>4392.10279</v>
      </c>
      <c r="P19" s="28">
        <f>+'PT_IMPORT_VALRS_H 2012-13 '!N20</f>
        <v>4217.729981</v>
      </c>
      <c r="Q19" s="28">
        <f>+'PT_IMPORT_VALRS_H_2013-14'!N20</f>
        <v>5758.698639</v>
      </c>
      <c r="R19" s="28">
        <f>+'PT_IMPORT_VALRS_H_2014-15'!N20</f>
        <v>3658.93112</v>
      </c>
      <c r="S19" s="28">
        <f>+'PT_IMPORT_VALRS_H_2015-16'!N20</f>
        <v>2379.611785</v>
      </c>
      <c r="T19" s="28">
        <f>+'PT_Import_Val_2016-17 '!P19</f>
        <v>1847.701612</v>
      </c>
      <c r="U19" s="28">
        <f>'PT_Import_Val_2017-18'!P19</f>
        <v>3231.454373</v>
      </c>
      <c r="V19" s="28">
        <f>'PT_Import_Val_2018-19'!N20</f>
        <v>4781.873695</v>
      </c>
      <c r="W19" s="28">
        <f>'PT_Import_Val_2019-20'!N20</f>
        <v>11791.44065</v>
      </c>
      <c r="X19" s="28">
        <f>'PT_Import_Val_2020-21'!N20</f>
        <v>14311.68415</v>
      </c>
      <c r="Y19" s="28">
        <f>'PT_Import_Val_2021-22'!N20</f>
        <v>32814.78189</v>
      </c>
      <c r="Z19" s="28">
        <f>'PT_Import_Val_2022-23'!N20</f>
        <v>33474.24587</v>
      </c>
    </row>
    <row r="20">
      <c r="A20" s="29" t="s">
        <v>39</v>
      </c>
      <c r="B20" s="30">
        <v>0.0</v>
      </c>
      <c r="C20" s="30">
        <v>0.0</v>
      </c>
      <c r="D20" s="30">
        <v>0.0</v>
      </c>
      <c r="E20" s="30">
        <v>5.0</v>
      </c>
      <c r="F20" s="30">
        <v>0.0</v>
      </c>
      <c r="G20" s="30">
        <v>5.0</v>
      </c>
      <c r="H20" s="30">
        <v>17.0</v>
      </c>
      <c r="I20" s="30">
        <v>22.0</v>
      </c>
      <c r="J20" s="30">
        <v>19.0</v>
      </c>
      <c r="K20" s="30">
        <v>50.0</v>
      </c>
      <c r="L20" s="30">
        <v>207.0</v>
      </c>
      <c r="M20" s="30">
        <v>137.7375797226346</v>
      </c>
      <c r="N20" s="30">
        <v>209.50424027225472</v>
      </c>
      <c r="O20" s="31">
        <f>+'PT_IMPORT_VALRS_H 2011-12'!N21</f>
        <v>196.7815951</v>
      </c>
      <c r="P20" s="28">
        <f>+'PT_IMPORT_VALRS_H 2012-13 '!N21</f>
        <v>272.1167134</v>
      </c>
      <c r="Q20" s="28">
        <f>+'PT_IMPORT_VALRS_H_2013-14'!N21</f>
        <v>800.9603004</v>
      </c>
      <c r="R20" s="28">
        <f>+'PT_IMPORT_VALRS_H_2014-15'!N21</f>
        <v>1623.16329</v>
      </c>
      <c r="S20" s="28">
        <f>+'PT_IMPORT_VALRS_H_2015-16'!N21</f>
        <v>1831.523453</v>
      </c>
      <c r="T20" s="28">
        <f>+'PT_Import_Val_2016-17 '!P20</f>
        <v>1638.116207</v>
      </c>
      <c r="U20" s="28">
        <f>'PT_Import_Val_2017-18'!P20</f>
        <v>1902.27407</v>
      </c>
      <c r="V20" s="28">
        <f>'PT_Import_Val_2018-19'!N21</f>
        <v>2149.474794</v>
      </c>
      <c r="W20" s="28">
        <f>'PT_Import_Val_2019-20'!N21</f>
        <v>3633.64131</v>
      </c>
      <c r="X20" s="28">
        <f>'PT_Import_Val_2020-21'!N21</f>
        <v>4325.214028</v>
      </c>
      <c r="Y20" s="28">
        <f>'PT_Import_Val_2021-22'!N21</f>
        <v>7678.022707</v>
      </c>
      <c r="Z20" s="28">
        <f>'PT_Import_Val_2022-23'!N21</f>
        <v>9945.07626</v>
      </c>
    </row>
    <row r="21" ht="15.75" customHeight="1">
      <c r="A21" s="29" t="s">
        <v>40</v>
      </c>
      <c r="B21" s="30">
        <v>4.0</v>
      </c>
      <c r="C21" s="30">
        <v>4.0</v>
      </c>
      <c r="D21" s="30">
        <v>2397.0</v>
      </c>
      <c r="E21" s="30">
        <v>487.0</v>
      </c>
      <c r="F21" s="30">
        <v>17.0</v>
      </c>
      <c r="G21" s="30">
        <v>738.0</v>
      </c>
      <c r="H21" s="30">
        <v>1227.0</v>
      </c>
      <c r="I21" s="30">
        <v>3757.0</v>
      </c>
      <c r="J21" s="30">
        <v>4286.0</v>
      </c>
      <c r="K21" s="30">
        <v>4219.0</v>
      </c>
      <c r="L21" s="30">
        <v>5277.0</v>
      </c>
      <c r="M21" s="30">
        <v>4374.474891956605</v>
      </c>
      <c r="N21" s="30">
        <v>8163.941811731936</v>
      </c>
      <c r="O21" s="31">
        <f>+'PT_IMPORT_VALRS_H 2011-12'!N22</f>
        <v>7281.542297</v>
      </c>
      <c r="P21" s="28">
        <f>+'PT_IMPORT_VALRS_H 2012-13 '!N22</f>
        <v>8415.196081</v>
      </c>
      <c r="Q21" s="28">
        <f>+'PT_IMPORT_VALRS_H_2013-14'!N22</f>
        <v>11162.14851</v>
      </c>
      <c r="R21" s="28">
        <f>+'PT_IMPORT_VALRS_H_2014-15'!N22</f>
        <v>11649.4365</v>
      </c>
      <c r="S21" s="28">
        <f>+'PT_IMPORT_VALRS_H_2015-16'!N22</f>
        <v>10454.20292</v>
      </c>
      <c r="T21" s="28">
        <f>+'PT_Import_Val_2016-17 '!P21</f>
        <v>13271.28366</v>
      </c>
      <c r="U21" s="28">
        <f>'PT_Import_Val_2017-18'!P21</f>
        <v>19119.57326</v>
      </c>
      <c r="V21" s="28">
        <f>'PT_Import_Val_2018-19'!N22</f>
        <v>26798.26258</v>
      </c>
      <c r="W21" s="28">
        <f>'PT_Import_Val_2019-20'!N22</f>
        <v>19884.84059</v>
      </c>
      <c r="X21" s="28">
        <f>'PT_Import_Val_2020-21'!N22+'PT_Import_Val_2020-21'!N23</f>
        <v>14104.19754</v>
      </c>
      <c r="Y21" s="28">
        <f>'PT_Import_Val_2021-22'!N22+'PT_Import_Val_2021-22'!N23</f>
        <v>19522.73584</v>
      </c>
      <c r="Z21" s="28">
        <f>'PT_Import_Val_2022-23'!N22+'PT_Import_Val_2022-23'!N23</f>
        <v>29582.30084</v>
      </c>
    </row>
    <row r="22" ht="15.75" customHeight="1">
      <c r="A22" s="26" t="s">
        <v>41</v>
      </c>
      <c r="B22" s="32">
        <f t="shared" ref="B22:Z22" si="1">SUM(B12:B21)</f>
        <v>12274</v>
      </c>
      <c r="C22" s="32">
        <f t="shared" si="1"/>
        <v>14186</v>
      </c>
      <c r="D22" s="32">
        <f t="shared" si="1"/>
        <v>12093</v>
      </c>
      <c r="E22" s="32">
        <f t="shared" si="1"/>
        <v>7249</v>
      </c>
      <c r="F22" s="32">
        <f t="shared" si="1"/>
        <v>8847</v>
      </c>
      <c r="G22" s="32">
        <f t="shared" si="1"/>
        <v>9723</v>
      </c>
      <c r="H22" s="32">
        <f t="shared" si="1"/>
        <v>14887</v>
      </c>
      <c r="I22" s="32">
        <f t="shared" si="1"/>
        <v>27970</v>
      </c>
      <c r="J22" s="32">
        <f t="shared" si="1"/>
        <v>41160</v>
      </c>
      <c r="K22" s="32">
        <f t="shared" si="1"/>
        <v>60999</v>
      </c>
      <c r="L22" s="32">
        <f t="shared" si="1"/>
        <v>61156</v>
      </c>
      <c r="M22" s="32">
        <f t="shared" si="1"/>
        <v>33799.54497</v>
      </c>
      <c r="N22" s="32">
        <f t="shared" si="1"/>
        <v>55998.31532</v>
      </c>
      <c r="O22" s="32">
        <f t="shared" si="1"/>
        <v>68091.12263</v>
      </c>
      <c r="P22" s="32">
        <f t="shared" si="1"/>
        <v>68852.0554</v>
      </c>
      <c r="Q22" s="32">
        <f t="shared" si="1"/>
        <v>75896.18488</v>
      </c>
      <c r="R22" s="32">
        <f t="shared" si="1"/>
        <v>74644.13661</v>
      </c>
      <c r="S22" s="23">
        <f t="shared" si="1"/>
        <v>65361.02388</v>
      </c>
      <c r="T22" s="23">
        <f t="shared" si="1"/>
        <v>71565.68667</v>
      </c>
      <c r="U22" s="23">
        <f t="shared" si="1"/>
        <v>88373.91866</v>
      </c>
      <c r="V22" s="23">
        <f t="shared" si="1"/>
        <v>113665.4372</v>
      </c>
      <c r="W22" s="23">
        <f t="shared" si="1"/>
        <v>125741.5879</v>
      </c>
      <c r="X22" s="23">
        <f t="shared" si="1"/>
        <v>109429.6653</v>
      </c>
      <c r="Y22" s="23">
        <f t="shared" si="1"/>
        <v>176834.7765</v>
      </c>
      <c r="Z22" s="23">
        <f t="shared" si="1"/>
        <v>215853.9881</v>
      </c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30"/>
      <c r="O23" s="33"/>
      <c r="P23" s="19"/>
      <c r="Q23" s="19"/>
      <c r="R23" s="24"/>
      <c r="S23" s="19"/>
      <c r="T23" s="28"/>
      <c r="U23" s="27"/>
      <c r="V23" s="27"/>
      <c r="W23" s="27"/>
      <c r="X23" s="27"/>
      <c r="Y23" s="27"/>
      <c r="Z23" s="27"/>
    </row>
    <row r="24" ht="15.75" customHeight="1">
      <c r="A24" s="27" t="s">
        <v>42</v>
      </c>
      <c r="B24" s="32">
        <f t="shared" ref="B24:Z24" si="2">+B10+B22</f>
        <v>27191</v>
      </c>
      <c r="C24" s="32">
        <f t="shared" si="2"/>
        <v>54214</v>
      </c>
      <c r="D24" s="32">
        <f t="shared" si="2"/>
        <v>78025</v>
      </c>
      <c r="E24" s="32">
        <f t="shared" si="2"/>
        <v>67646</v>
      </c>
      <c r="F24" s="32">
        <f t="shared" si="2"/>
        <v>85042</v>
      </c>
      <c r="G24" s="32">
        <f t="shared" si="2"/>
        <v>93251</v>
      </c>
      <c r="H24" s="32">
        <f t="shared" si="2"/>
        <v>131890</v>
      </c>
      <c r="I24" s="32">
        <f t="shared" si="2"/>
        <v>199672</v>
      </c>
      <c r="J24" s="32">
        <f t="shared" si="2"/>
        <v>260189</v>
      </c>
      <c r="K24" s="32">
        <f t="shared" si="2"/>
        <v>333698</v>
      </c>
      <c r="L24" s="32">
        <f t="shared" si="2"/>
        <v>409460</v>
      </c>
      <c r="M24" s="32">
        <f t="shared" si="2"/>
        <v>409076.545</v>
      </c>
      <c r="N24" s="32">
        <f t="shared" si="2"/>
        <v>511274.6153</v>
      </c>
      <c r="O24" s="32">
        <f t="shared" si="2"/>
        <v>740310.9648</v>
      </c>
      <c r="P24" s="32">
        <f t="shared" si="2"/>
        <v>853504.3348</v>
      </c>
      <c r="Q24" s="32">
        <f t="shared" si="2"/>
        <v>940770.9645</v>
      </c>
      <c r="R24" s="32">
        <f t="shared" si="2"/>
        <v>762060.3109</v>
      </c>
      <c r="S24" s="32">
        <f t="shared" si="2"/>
        <v>481939.8689</v>
      </c>
      <c r="T24" s="32">
        <f t="shared" si="2"/>
        <v>541725.0045</v>
      </c>
      <c r="U24" s="32">
        <f t="shared" si="2"/>
        <v>654824.0667</v>
      </c>
      <c r="V24" s="23">
        <f t="shared" si="2"/>
        <v>896848.2873</v>
      </c>
      <c r="W24" s="23">
        <f t="shared" si="2"/>
        <v>842742.563</v>
      </c>
      <c r="X24" s="23">
        <f t="shared" si="2"/>
        <v>569208.2345</v>
      </c>
      <c r="Y24" s="23">
        <f t="shared" si="2"/>
        <v>1078096.968</v>
      </c>
      <c r="Z24" s="23">
        <f t="shared" si="2"/>
        <v>1476225.812</v>
      </c>
    </row>
    <row r="25" ht="15.75" customHeight="1">
      <c r="A25" s="19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3"/>
      <c r="P25" s="19"/>
      <c r="Q25" s="19"/>
      <c r="R25" s="24"/>
      <c r="S25" s="27"/>
      <c r="T25" s="28"/>
      <c r="U25" s="27"/>
      <c r="V25" s="27"/>
      <c r="W25" s="27"/>
      <c r="X25" s="27"/>
      <c r="Y25" s="27"/>
      <c r="Z25" s="27"/>
    </row>
    <row r="26" ht="15.75" customHeight="1">
      <c r="A26" s="18" t="s">
        <v>43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33"/>
      <c r="P26" s="19"/>
      <c r="Q26" s="19"/>
      <c r="R26" s="24"/>
      <c r="S26" s="27"/>
      <c r="T26" s="28"/>
      <c r="U26" s="19"/>
      <c r="V26" s="19"/>
      <c r="W26" s="19"/>
      <c r="X26" s="19"/>
      <c r="Y26" s="19"/>
      <c r="Z26" s="19"/>
    </row>
    <row r="27" ht="15.75" customHeight="1">
      <c r="A27" s="35" t="s">
        <v>31</v>
      </c>
      <c r="B27" s="30">
        <v>0.0</v>
      </c>
      <c r="C27" s="30">
        <v>0.0</v>
      </c>
      <c r="D27" s="30">
        <v>0.0</v>
      </c>
      <c r="E27" s="30">
        <v>0.0</v>
      </c>
      <c r="F27" s="30">
        <v>0.0</v>
      </c>
      <c r="G27" s="30">
        <v>0.0</v>
      </c>
      <c r="H27" s="30">
        <v>306.0</v>
      </c>
      <c r="I27" s="30">
        <v>164.0</v>
      </c>
      <c r="J27" s="30">
        <v>342.0</v>
      </c>
      <c r="K27" s="30">
        <v>401.0</v>
      </c>
      <c r="L27" s="36">
        <v>456.0</v>
      </c>
      <c r="M27" s="36">
        <v>490.85</v>
      </c>
      <c r="N27" s="36">
        <v>693.3</v>
      </c>
      <c r="O27" s="31">
        <f>+'PT_IMPORT_VALRS_H 2011-12'!N26</f>
        <v>947.177</v>
      </c>
      <c r="P27" s="31">
        <f>+'PT_IMPORT_VALRS_H 2012-13 '!N26</f>
        <v>1294.03</v>
      </c>
      <c r="Q27" s="28">
        <f>+'PT_IMPORT_VALRS_H_2013-14'!N26</f>
        <v>1588.682</v>
      </c>
      <c r="R27" s="28">
        <f>+'PT_IMPORT_VALRS_H_2014-15'!N26</f>
        <v>1455.321309</v>
      </c>
      <c r="S27" s="28">
        <f>+'PT_IMPORT_VALRS_H_2015-16'!N26</f>
        <v>784.95</v>
      </c>
      <c r="T27" s="28">
        <f>+'PT_Import_Val_2016-17 '!P25</f>
        <v>1167.71</v>
      </c>
      <c r="U27" s="28">
        <f>'PT_Import_Val_2017-18'!P25</f>
        <v>1501.11</v>
      </c>
      <c r="V27" s="28">
        <f>'PT_Import_Val_2018-19'!N26</f>
        <v>1975.737109</v>
      </c>
      <c r="W27" s="28">
        <f>'PT_Import_Val_2019-20'!N26</f>
        <v>1970.453523</v>
      </c>
      <c r="X27" s="28">
        <f>'PT_Import_Val_2020-21'!N27</f>
        <v>1796.665426</v>
      </c>
      <c r="Y27" s="28">
        <f>'PT_Import_Val_2021-22'!N27</f>
        <v>3213.582439</v>
      </c>
      <c r="Z27" s="28">
        <f>'PT_Import_Val_2022-23'!N27</f>
        <v>3891.162185</v>
      </c>
    </row>
    <row r="28" ht="15.75" customHeight="1">
      <c r="A28" s="37" t="s">
        <v>44</v>
      </c>
      <c r="B28" s="30">
        <v>0.0</v>
      </c>
      <c r="C28" s="30">
        <v>139.0</v>
      </c>
      <c r="D28" s="30">
        <v>1442.0</v>
      </c>
      <c r="E28" s="30">
        <v>2570.0</v>
      </c>
      <c r="F28" s="30">
        <v>3011.0</v>
      </c>
      <c r="G28" s="30">
        <v>4021.0</v>
      </c>
      <c r="H28" s="30">
        <v>5625.0</v>
      </c>
      <c r="I28" s="30">
        <v>5843.0</v>
      </c>
      <c r="J28" s="30">
        <v>10191.0</v>
      </c>
      <c r="K28" s="30">
        <v>13614.0</v>
      </c>
      <c r="L28" s="36">
        <v>17810.0</v>
      </c>
      <c r="M28" s="36">
        <v>31203.41126117437</v>
      </c>
      <c r="N28" s="36">
        <v>49480.0</v>
      </c>
      <c r="O28" s="31">
        <f>+'PT_IMPORT_VALRS_H 2011-12'!N27</f>
        <v>73981.81764</v>
      </c>
      <c r="P28" s="31">
        <f>+'PT_IMPORT_VALRS_H 2012-13 '!N27</f>
        <v>95345.91383</v>
      </c>
      <c r="Q28" s="28">
        <f>+'PT_IMPORT_VALRS_H_2013-14'!N27</f>
        <v>92977.32044</v>
      </c>
      <c r="R28" s="28">
        <f>+'PT_IMPORT_VALRS_H_2014-15'!N27</f>
        <v>81971.02943</v>
      </c>
      <c r="S28" s="28">
        <f>+'PT_IMPORT_VALRS_H_2015-16'!N27</f>
        <v>59575.39163</v>
      </c>
      <c r="T28" s="28">
        <f>+'PT_Import_Val_2016-17 '!P26</f>
        <v>52919.54236</v>
      </c>
      <c r="U28" s="28">
        <f>'PT_Import_Val_2017-18'!P26</f>
        <v>54580.02015</v>
      </c>
      <c r="V28" s="28">
        <f>'PT_Import_Val_2018-19'!N27</f>
        <v>60418.80903</v>
      </c>
      <c r="W28" s="28">
        <f>'PT_Import_Val_2019-20'!N27</f>
        <v>54511.86356</v>
      </c>
      <c r="X28" s="28">
        <f>'PT_Import_Val_2020-21'!N28</f>
        <v>36529.61801</v>
      </c>
      <c r="Y28" s="28">
        <f>'PT_Import_Val_2021-22'!N28</f>
        <v>81648.60768</v>
      </c>
      <c r="Z28" s="28">
        <f>'PT_Import_Val_2022-23'!N28</f>
        <v>102799.6129</v>
      </c>
    </row>
    <row r="29" ht="15.75" customHeight="1">
      <c r="A29" s="35" t="s">
        <v>33</v>
      </c>
      <c r="B29" s="30">
        <v>306.0</v>
      </c>
      <c r="C29" s="30">
        <v>520.0</v>
      </c>
      <c r="D29" s="30">
        <v>3273.0</v>
      </c>
      <c r="E29" s="30">
        <v>2300.0</v>
      </c>
      <c r="F29" s="30">
        <v>2325.0</v>
      </c>
      <c r="G29" s="30">
        <v>2653.0</v>
      </c>
      <c r="H29" s="30">
        <v>5030.0</v>
      </c>
      <c r="I29" s="30">
        <v>10787.0</v>
      </c>
      <c r="J29" s="30">
        <v>21431.0</v>
      </c>
      <c r="K29" s="30">
        <v>27365.0</v>
      </c>
      <c r="L29" s="36">
        <v>25055.0</v>
      </c>
      <c r="M29" s="36">
        <v>30317.999179185063</v>
      </c>
      <c r="N29" s="36">
        <v>37138.0</v>
      </c>
      <c r="O29" s="31">
        <f>+'PT_IMPORT_VALRS_H 2011-12'!N28</f>
        <v>45619.74604</v>
      </c>
      <c r="P29" s="31">
        <f>+'PT_IMPORT_VALRS_H 2012-13 '!N28</f>
        <v>43533.0861</v>
      </c>
      <c r="Q29" s="28">
        <f>+'PT_IMPORT_VALRS_H_2013-14'!N28</f>
        <v>46059.17112</v>
      </c>
      <c r="R29" s="28">
        <f>+'PT_IMPORT_VALRS_H_2014-15'!N28</f>
        <v>31618.99949</v>
      </c>
      <c r="S29" s="28">
        <f>+'PT_IMPORT_VALRS_H_2015-16'!N28</f>
        <v>20056.51033</v>
      </c>
      <c r="T29" s="28">
        <f>+'PT_Import_Val_2016-17 '!P27</f>
        <v>24615.90051</v>
      </c>
      <c r="U29" s="28">
        <f>'PT_Import_Val_2017-18'!P27</f>
        <v>29074.8067</v>
      </c>
      <c r="V29" s="28">
        <f>'PT_Import_Val_2018-19'!N28</f>
        <v>28893.12113</v>
      </c>
      <c r="W29" s="28">
        <f>'PT_Import_Val_2019-20'!N28</f>
        <v>31508.54884</v>
      </c>
      <c r="X29" s="28">
        <f>'PT_Import_Val_2020-21'!N29</f>
        <v>18642.82118</v>
      </c>
      <c r="Y29" s="28">
        <f>'PT_Import_Val_2021-22'!N29</f>
        <v>37231.31988</v>
      </c>
      <c r="Z29" s="28">
        <f>'PT_Import_Val_2022-23'!N29</f>
        <v>33356.57508</v>
      </c>
    </row>
    <row r="30" ht="15.75" customHeight="1">
      <c r="A30" s="35" t="s">
        <v>45</v>
      </c>
      <c r="B30" s="30">
        <v>0.0</v>
      </c>
      <c r="C30" s="30">
        <v>0.0</v>
      </c>
      <c r="D30" s="30">
        <v>174.0</v>
      </c>
      <c r="E30" s="30">
        <v>176.0</v>
      </c>
      <c r="F30" s="30">
        <v>790.0</v>
      </c>
      <c r="G30" s="30">
        <v>1950.0</v>
      </c>
      <c r="H30" s="30">
        <v>4448.0</v>
      </c>
      <c r="I30" s="30">
        <v>7077.0</v>
      </c>
      <c r="J30" s="30">
        <v>10254.0</v>
      </c>
      <c r="K30" s="30">
        <v>13555.0</v>
      </c>
      <c r="L30" s="36">
        <v>13498.0</v>
      </c>
      <c r="M30" s="36">
        <v>13331.226208769815</v>
      </c>
      <c r="N30" s="36">
        <v>16140.0</v>
      </c>
      <c r="O30" s="31">
        <f>+'PT_IMPORT_VALRS_H 2011-12'!N29</f>
        <v>21856.64489</v>
      </c>
      <c r="P30" s="31">
        <f>+'PT_IMPORT_VALRS_H 2012-13 '!N29</f>
        <v>25222.79002</v>
      </c>
      <c r="Q30" s="28">
        <f>+'PT_IMPORT_VALRS_H_2013-14'!N29</f>
        <v>33246.30881</v>
      </c>
      <c r="R30" s="28">
        <f>+'PT_IMPORT_VALRS_H_2014-15'!N29</f>
        <v>25412.90515</v>
      </c>
      <c r="S30" s="28">
        <f>+'PT_IMPORT_VALRS_H_2015-16'!N29</f>
        <v>16007.08134</v>
      </c>
      <c r="T30" s="28">
        <f>+'PT_Import_Val_2016-17 '!P28</f>
        <v>22294.13763</v>
      </c>
      <c r="U30" s="28">
        <f>'PT_Import_Val_2017-18'!P28</f>
        <v>25347.95424</v>
      </c>
      <c r="V30" s="28">
        <f>'PT_Import_Val_2018-19'!N29</f>
        <v>34029.99528</v>
      </c>
      <c r="W30" s="28">
        <f>'PT_Import_Val_2019-20'!N29</f>
        <v>28458.27081</v>
      </c>
      <c r="X30" s="28">
        <f>'PT_Import_Val_2020-21'!N30</f>
        <v>9376.816193</v>
      </c>
      <c r="Y30" s="28">
        <f>'PT_Import_Val_2021-22'!N30</f>
        <v>27111.72746</v>
      </c>
      <c r="Z30" s="28">
        <f>'PT_Import_Val_2022-23'!N30</f>
        <v>58598.07645</v>
      </c>
    </row>
    <row r="31" ht="15.75" customHeight="1">
      <c r="A31" s="37" t="s">
        <v>35</v>
      </c>
      <c r="B31" s="30">
        <v>0.0</v>
      </c>
      <c r="C31" s="30">
        <v>0.0</v>
      </c>
      <c r="D31" s="30">
        <v>0.0</v>
      </c>
      <c r="E31" s="30">
        <v>0.0</v>
      </c>
      <c r="F31" s="30">
        <v>0.0</v>
      </c>
      <c r="G31" s="30">
        <v>0.0</v>
      </c>
      <c r="H31" s="30">
        <v>460.0</v>
      </c>
      <c r="I31" s="30">
        <v>371.0</v>
      </c>
      <c r="J31" s="30">
        <v>541.0</v>
      </c>
      <c r="K31" s="30">
        <v>492.0</v>
      </c>
      <c r="L31" s="36">
        <v>362.0</v>
      </c>
      <c r="M31" s="36">
        <v>153.96</v>
      </c>
      <c r="N31" s="36">
        <v>141.0</v>
      </c>
      <c r="O31" s="31">
        <f>+'PT_IMPORT_VALRS_H 2011-12'!N30</f>
        <v>190.917</v>
      </c>
      <c r="P31" s="31">
        <f>+'PT_IMPORT_VALRS_H 2012-13 '!N30</f>
        <v>139.847</v>
      </c>
      <c r="Q31" s="28">
        <f>+'PT_IMPORT_VALRS_H_2013-14'!N30</f>
        <v>98.455</v>
      </c>
      <c r="R31" s="28">
        <f>+'PT_IMPORT_VALRS_H_2014-15'!N30</f>
        <v>81.3444827</v>
      </c>
      <c r="S31" s="28">
        <f>+'PT_IMPORT_VALRS_H_2015-16'!N30</f>
        <v>35.31</v>
      </c>
      <c r="T31" s="28">
        <f>+'PT_Import_Val_2016-17 '!P29</f>
        <v>54.41</v>
      </c>
      <c r="U31" s="28">
        <f>'PT_Import_Val_2017-18'!P29</f>
        <v>68.12</v>
      </c>
      <c r="V31" s="28">
        <f>'PT_Import_Val_2018-19'!N30</f>
        <v>97.6399773</v>
      </c>
      <c r="W31" s="28">
        <f>'PT_Import_Val_2019-20'!N30</f>
        <v>559.7006903</v>
      </c>
      <c r="X31" s="28">
        <f>'PT_Import_Val_2020-21'!N31</f>
        <v>48.4165827</v>
      </c>
      <c r="Y31" s="28">
        <f>'PT_Import_Val_2021-22'!N31</f>
        <v>76.9181819</v>
      </c>
      <c r="Z31" s="28">
        <f>'PT_Import_Val_2022-23'!N31</f>
        <v>100.4809867</v>
      </c>
    </row>
    <row r="32" ht="15.75" customHeight="1">
      <c r="A32" s="35" t="s">
        <v>36</v>
      </c>
      <c r="B32" s="30">
        <v>0.0</v>
      </c>
      <c r="C32" s="30">
        <v>0.0</v>
      </c>
      <c r="D32" s="30">
        <v>1872.0</v>
      </c>
      <c r="E32" s="30">
        <v>2548.0</v>
      </c>
      <c r="F32" s="30">
        <v>3547.0</v>
      </c>
      <c r="G32" s="30">
        <v>6763.0</v>
      </c>
      <c r="H32" s="30">
        <v>11782.0</v>
      </c>
      <c r="I32" s="30">
        <v>18654.0</v>
      </c>
      <c r="J32" s="30">
        <v>29198.0</v>
      </c>
      <c r="K32" s="30">
        <v>40871.0</v>
      </c>
      <c r="L32" s="36">
        <v>49670.0</v>
      </c>
      <c r="M32" s="36">
        <v>50929.82480212404</v>
      </c>
      <c r="N32" s="36">
        <v>69300.3</v>
      </c>
      <c r="O32" s="31">
        <f>+'PT_IMPORT_VALRS_H 2011-12'!N31</f>
        <v>104571.9242</v>
      </c>
      <c r="P32" s="31">
        <f>+'PT_IMPORT_VALRS_H 2012-13 '!N31</f>
        <v>115553.8071</v>
      </c>
      <c r="Q32" s="28">
        <f>+'PT_IMPORT_VALRS_H_2013-14'!N31</f>
        <v>148138.1327</v>
      </c>
      <c r="R32" s="28">
        <f>+'PT_IMPORT_VALRS_H_2014-15'!N31</f>
        <v>115149.0294</v>
      </c>
      <c r="S32" s="28">
        <f>+'PT_IMPORT_VALRS_H_2015-16'!N31</f>
        <v>66492.32143</v>
      </c>
      <c r="T32" s="28">
        <f>+'PT_Import_Val_2016-17 '!P30</f>
        <v>79857.26087</v>
      </c>
      <c r="U32" s="28">
        <f>'PT_Import_Val_2017-18'!P30</f>
        <v>99454.07049</v>
      </c>
      <c r="V32" s="28">
        <f>'PT_Import_Val_2018-19'!N31</f>
        <v>123518.6245</v>
      </c>
      <c r="W32" s="28">
        <f>'PT_Import_Val_2019-20'!N31</f>
        <v>123919.2702</v>
      </c>
      <c r="X32" s="28">
        <f>'PT_Import_Val_2020-21'!N32</f>
        <v>81610.75124</v>
      </c>
      <c r="Y32" s="28">
        <f>'PT_Import_Val_2021-22'!N32</f>
        <v>164741.2479</v>
      </c>
      <c r="Z32" s="28">
        <f>'PT_Import_Val_2022-23'!N32</f>
        <v>230813.4562</v>
      </c>
    </row>
    <row r="33" ht="15.75" customHeight="1">
      <c r="A33" s="35" t="s">
        <v>46</v>
      </c>
      <c r="B33" s="30">
        <v>0.0</v>
      </c>
      <c r="C33" s="30">
        <v>0.0</v>
      </c>
      <c r="D33" s="30">
        <v>9.0</v>
      </c>
      <c r="E33" s="30">
        <v>23.0</v>
      </c>
      <c r="F33" s="30">
        <v>0.0</v>
      </c>
      <c r="G33" s="30">
        <v>0.0</v>
      </c>
      <c r="H33" s="30">
        <v>0.0</v>
      </c>
      <c r="I33" s="38">
        <v>0.5</v>
      </c>
      <c r="J33" s="38">
        <v>0.3</v>
      </c>
      <c r="K33" s="30">
        <v>0.0</v>
      </c>
      <c r="L33" s="39">
        <v>1.3</v>
      </c>
      <c r="M33" s="36">
        <v>87.10000000000001</v>
      </c>
      <c r="N33" s="36">
        <v>260.0</v>
      </c>
      <c r="O33" s="31">
        <f>+'PT_IMPORT_VALRS_H 2011-12'!N32</f>
        <v>331.149903</v>
      </c>
      <c r="P33" s="31">
        <f>+'PT_IMPORT_VALRS_H 2012-13 '!N32</f>
        <v>41.651</v>
      </c>
      <c r="Q33" s="28">
        <f>+'PT_IMPORT_VALRS_H_2013-14'!N32</f>
        <v>134.967181</v>
      </c>
      <c r="R33" s="28">
        <f>+'PT_IMPORT_VALRS_H_2014-15'!N32</f>
        <v>28.37</v>
      </c>
      <c r="S33" s="28">
        <f>+'PT_IMPORT_VALRS_H_2015-16'!N32</f>
        <v>0</v>
      </c>
      <c r="T33" s="28">
        <f>+'PT_Import_Val_2016-17 '!P31</f>
        <v>398.8573859</v>
      </c>
      <c r="U33" s="28">
        <f>'PT_Import_Val_2017-18'!P31</f>
        <v>37.48414719</v>
      </c>
      <c r="V33" s="28">
        <f>'PT_Import_Val_2018-19'!N32</f>
        <v>363.83345</v>
      </c>
      <c r="W33" s="28">
        <f>'PT_Import_Val_2019-20'!N32</f>
        <v>0</v>
      </c>
      <c r="X33" s="28">
        <f>'PT_Import_Val_2020-21'!N33</f>
        <v>0</v>
      </c>
      <c r="Y33" s="28">
        <f>'PT_Import_Val_2021-22'!N33</f>
        <v>0.221489</v>
      </c>
      <c r="Z33" s="28">
        <f>'PT_Import_Val_2022-23'!N33</f>
        <v>12.823656</v>
      </c>
    </row>
    <row r="34" ht="15.75" customHeight="1">
      <c r="A34" s="35" t="s">
        <v>47</v>
      </c>
      <c r="B34" s="30">
        <v>0.0</v>
      </c>
      <c r="C34" s="30">
        <v>0.0</v>
      </c>
      <c r="D34" s="30">
        <v>0.0</v>
      </c>
      <c r="E34" s="30">
        <v>0.0</v>
      </c>
      <c r="F34" s="30">
        <v>24.0</v>
      </c>
      <c r="G34" s="30">
        <v>36.0</v>
      </c>
      <c r="H34" s="30">
        <v>23.0</v>
      </c>
      <c r="I34" s="30">
        <v>355.0</v>
      </c>
      <c r="J34" s="30">
        <v>1207.0</v>
      </c>
      <c r="K34" s="30">
        <v>691.0</v>
      </c>
      <c r="L34" s="36">
        <v>687.0</v>
      </c>
      <c r="M34" s="36">
        <v>120.6</v>
      </c>
      <c r="N34" s="36">
        <v>153.7</v>
      </c>
      <c r="O34" s="31">
        <f>+'PT_IMPORT_VALRS_H 2011-12'!N33</f>
        <v>180.7728976</v>
      </c>
      <c r="P34" s="31">
        <f>+'PT_IMPORT_VALRS_H 2012-13 '!N33</f>
        <v>381.4542159</v>
      </c>
      <c r="Q34" s="28">
        <f>+'PT_IMPORT_VALRS_H_2013-14'!N33</f>
        <v>138.3509775</v>
      </c>
      <c r="R34" s="28">
        <f>+'PT_IMPORT_VALRS_H_2014-15'!N33</f>
        <v>99.55350262</v>
      </c>
      <c r="S34" s="28">
        <f>+'PT_IMPORT_VALRS_H_2015-16'!N33</f>
        <v>127.0899863</v>
      </c>
      <c r="T34" s="28">
        <f>+'PT_Import_Val_2016-17 '!P32</f>
        <v>103.7447588</v>
      </c>
      <c r="U34" s="28">
        <f>'PT_Import_Val_2017-18'!P32</f>
        <v>118.3563134</v>
      </c>
      <c r="V34" s="28">
        <f>'PT_Import_Val_2018-19'!N33</f>
        <v>106</v>
      </c>
      <c r="W34" s="28">
        <f>'PT_Import_Val_2019-20'!N33</f>
        <v>95.97</v>
      </c>
      <c r="X34" s="28">
        <f>'PT_Import_Val_2020-21'!N34</f>
        <v>92.94473317</v>
      </c>
      <c r="Y34" s="28">
        <f>'PT_Import_Val_2021-22'!N34</f>
        <v>114.45312</v>
      </c>
      <c r="Z34" s="28">
        <f>'PT_Import_Val_2022-23'!N34</f>
        <v>204.8749828</v>
      </c>
    </row>
    <row r="35" ht="15.75" customHeight="1">
      <c r="A35" s="35" t="s">
        <v>38</v>
      </c>
      <c r="B35" s="30">
        <v>0.0</v>
      </c>
      <c r="C35" s="30">
        <v>0.0</v>
      </c>
      <c r="D35" s="30">
        <v>320.0</v>
      </c>
      <c r="E35" s="30">
        <v>255.0</v>
      </c>
      <c r="F35" s="30">
        <v>902.0</v>
      </c>
      <c r="G35" s="30">
        <v>928.0</v>
      </c>
      <c r="H35" s="30">
        <v>1517.0</v>
      </c>
      <c r="I35" s="30">
        <v>2268.0</v>
      </c>
      <c r="J35" s="30">
        <v>4988.0</v>
      </c>
      <c r="K35" s="30">
        <v>6811.0</v>
      </c>
      <c r="L35" s="36">
        <v>12297.0</v>
      </c>
      <c r="M35" s="36">
        <v>10477.877635981953</v>
      </c>
      <c r="N35" s="36">
        <v>15098.0</v>
      </c>
      <c r="O35" s="31">
        <f>+'PT_IMPORT_VALRS_H 2011-12'!N34</f>
        <v>25576.26654</v>
      </c>
      <c r="P35" s="31">
        <f>+'PT_IMPORT_VALRS_H 2012-13 '!N34</f>
        <v>20415.47676</v>
      </c>
      <c r="Q35" s="28">
        <f>+'PT_IMPORT_VALRS_H_2013-14'!N34</f>
        <v>22407.08697</v>
      </c>
      <c r="R35" s="28">
        <f>+'PT_IMPORT_VALRS_H_2014-15'!N34</f>
        <v>14250.72892</v>
      </c>
      <c r="S35" s="28">
        <f>+'PT_IMPORT_VALRS_H_2015-16'!N34</f>
        <v>4470.986677</v>
      </c>
      <c r="T35" s="28">
        <f>+'PT_Import_Val_2016-17 '!P33</f>
        <v>3929.799075</v>
      </c>
      <c r="U35" s="28">
        <f>'PT_Import_Val_2017-18'!P33</f>
        <v>5291.019567</v>
      </c>
      <c r="V35" s="28">
        <f>'PT_Import_Val_2018-19'!N34</f>
        <v>6537.107271</v>
      </c>
      <c r="W35" s="28">
        <f>'PT_Import_Val_2019-20'!N34</f>
        <v>3811.216807</v>
      </c>
      <c r="X35" s="28">
        <f>'PT_Import_Val_2020-21'!N35</f>
        <v>2318.359719</v>
      </c>
      <c r="Y35" s="28">
        <f>'PT_Import_Val_2021-22'!N35</f>
        <v>6633.07972</v>
      </c>
      <c r="Z35" s="28">
        <f>'PT_Import_Val_2022-23'!N35</f>
        <v>7834.190192</v>
      </c>
    </row>
    <row r="36" ht="15.75" customHeight="1">
      <c r="A36" s="35" t="s">
        <v>39</v>
      </c>
      <c r="B36" s="30">
        <v>0.0</v>
      </c>
      <c r="C36" s="30">
        <v>0.0</v>
      </c>
      <c r="D36" s="30">
        <v>0.0</v>
      </c>
      <c r="E36" s="30">
        <v>0.0</v>
      </c>
      <c r="F36" s="30">
        <v>0.0</v>
      </c>
      <c r="G36" s="30">
        <v>4.0</v>
      </c>
      <c r="H36" s="30">
        <v>31.0</v>
      </c>
      <c r="I36" s="30">
        <v>25.0</v>
      </c>
      <c r="J36" s="30">
        <v>77.0</v>
      </c>
      <c r="K36" s="30">
        <v>51.0</v>
      </c>
      <c r="L36" s="36">
        <v>64.0</v>
      </c>
      <c r="M36" s="36">
        <v>66.62</v>
      </c>
      <c r="N36" s="36">
        <v>124.0</v>
      </c>
      <c r="O36" s="31">
        <f>+'PT_IMPORT_VALRS_H 2011-12'!N35</f>
        <v>26.80221688</v>
      </c>
      <c r="P36" s="31">
        <f>+'PT_IMPORT_VALRS_H 2012-13 '!N35</f>
        <v>281.2191649</v>
      </c>
      <c r="Q36" s="28">
        <f>+'PT_IMPORT_VALRS_H_2013-14'!N35</f>
        <v>321.3115441</v>
      </c>
      <c r="R36" s="28">
        <f>+'PT_IMPORT_VALRS_H_2014-15'!N35</f>
        <v>245.2211982</v>
      </c>
      <c r="S36" s="28">
        <f>+'PT_IMPORT_VALRS_H_2015-16'!N35</f>
        <v>176.1969056</v>
      </c>
      <c r="T36" s="28">
        <f>+'PT_Import_Val_2016-17 '!P34</f>
        <v>36.96802707</v>
      </c>
      <c r="U36" s="28">
        <f>'PT_Import_Val_2017-18'!P34</f>
        <v>118.6087801</v>
      </c>
      <c r="V36" s="28">
        <f>'PT_Import_Val_2018-19'!N35</f>
        <v>71.7974393</v>
      </c>
      <c r="W36" s="28">
        <f>'PT_Import_Val_2019-20'!N35</f>
        <v>88.6002163</v>
      </c>
      <c r="X36" s="28">
        <f>'PT_Import_Val_2020-21'!N36</f>
        <v>23.4853453</v>
      </c>
      <c r="Y36" s="28">
        <f>'PT_Import_Val_2021-22'!N36</f>
        <v>27.8630569</v>
      </c>
      <c r="Z36" s="28">
        <f>'PT_Import_Val_2022-23'!N36</f>
        <v>42.412268</v>
      </c>
    </row>
    <row r="37" ht="15.75" customHeight="1">
      <c r="A37" s="35" t="s">
        <v>48</v>
      </c>
      <c r="B37" s="30">
        <v>0.0</v>
      </c>
      <c r="C37" s="30">
        <v>39.0</v>
      </c>
      <c r="D37" s="30">
        <v>582.0</v>
      </c>
      <c r="E37" s="30">
        <v>413.0</v>
      </c>
      <c r="F37" s="30">
        <v>269.0</v>
      </c>
      <c r="G37" s="30">
        <v>426.0</v>
      </c>
      <c r="H37" s="30">
        <v>706.0</v>
      </c>
      <c r="I37" s="30">
        <v>4429.0</v>
      </c>
      <c r="J37" s="30">
        <v>2865.0</v>
      </c>
      <c r="K37" s="30">
        <v>6938.0</v>
      </c>
      <c r="L37" s="36">
        <v>2575.0</v>
      </c>
      <c r="M37" s="36">
        <v>7507.9443444958015</v>
      </c>
      <c r="N37" s="36">
        <v>8332.4</v>
      </c>
      <c r="O37" s="31">
        <f>+'PT_IMPORT_VALRS_H 2011-12'!N36</f>
        <v>11361.01168</v>
      </c>
      <c r="P37" s="31">
        <f>+'PT_IMPORT_VALRS_H 2012-13 '!N36</f>
        <v>17880.31729</v>
      </c>
      <c r="Q37" s="28">
        <f>+'PT_IMPORT_VALRS_H_2013-14'!N36</f>
        <v>23169.28034</v>
      </c>
      <c r="R37" s="28">
        <f>+'PT_IMPORT_VALRS_H_2014-15'!N36</f>
        <v>18267.29292</v>
      </c>
      <c r="S37" s="28">
        <f>+'PT_IMPORT_VALRS_H_2015-16'!N36</f>
        <v>9053.742944</v>
      </c>
      <c r="T37" s="28">
        <f>+'PT_Import_Val_2016-17 '!P35</f>
        <v>9514.311758</v>
      </c>
      <c r="U37" s="28">
        <f>'PT_Import_Val_2017-18'!P35</f>
        <v>9796.209952</v>
      </c>
      <c r="V37" s="28">
        <f>'PT_Import_Val_2018-19'!N36</f>
        <v>11683.85918</v>
      </c>
      <c r="W37" s="28">
        <f>'PT_Import_Val_2019-20'!N36</f>
        <v>9093.647499</v>
      </c>
      <c r="X37" s="28">
        <f>'PT_Import_Val_2020-21'!N38+'PT_Import_Val_2020-21'!N37</f>
        <v>6727.832138</v>
      </c>
      <c r="Y37" s="28">
        <f>'PT_Import_Val_2021-22'!N38+'PT_Import_Val_2021-22'!N37</f>
        <v>11001.98102</v>
      </c>
      <c r="Z37" s="28">
        <f>'PT_Import_Val_2022-23'!N38+'PT_Import_Val_2022-23'!N37</f>
        <v>21075.00157</v>
      </c>
    </row>
    <row r="38" ht="15.75" customHeight="1">
      <c r="A38" s="26" t="s">
        <v>49</v>
      </c>
      <c r="B38" s="23">
        <f t="shared" ref="B38:Z38" si="3">SUM(B27:B37)</f>
        <v>306</v>
      </c>
      <c r="C38" s="23">
        <f t="shared" si="3"/>
        <v>698</v>
      </c>
      <c r="D38" s="23">
        <f t="shared" si="3"/>
        <v>7672</v>
      </c>
      <c r="E38" s="23">
        <f t="shared" si="3"/>
        <v>8285</v>
      </c>
      <c r="F38" s="23">
        <f t="shared" si="3"/>
        <v>10868</v>
      </c>
      <c r="G38" s="23">
        <f t="shared" si="3"/>
        <v>16781</v>
      </c>
      <c r="H38" s="23">
        <f t="shared" si="3"/>
        <v>29928</v>
      </c>
      <c r="I38" s="23">
        <f t="shared" si="3"/>
        <v>49973.5</v>
      </c>
      <c r="J38" s="23">
        <f t="shared" si="3"/>
        <v>81094.3</v>
      </c>
      <c r="K38" s="23">
        <f t="shared" si="3"/>
        <v>110789</v>
      </c>
      <c r="L38" s="23">
        <f t="shared" si="3"/>
        <v>122475.3</v>
      </c>
      <c r="M38" s="23">
        <f t="shared" si="3"/>
        <v>144687.4134</v>
      </c>
      <c r="N38" s="23">
        <f t="shared" si="3"/>
        <v>196860.7</v>
      </c>
      <c r="O38" s="23">
        <f t="shared" si="3"/>
        <v>284644.23</v>
      </c>
      <c r="P38" s="23">
        <f t="shared" si="3"/>
        <v>320089.5925</v>
      </c>
      <c r="Q38" s="23">
        <f t="shared" si="3"/>
        <v>368279.0671</v>
      </c>
      <c r="R38" s="23">
        <f t="shared" si="3"/>
        <v>288579.7958</v>
      </c>
      <c r="S38" s="32">
        <f t="shared" si="3"/>
        <v>176779.5812</v>
      </c>
      <c r="T38" s="32">
        <f t="shared" si="3"/>
        <v>194892.6424</v>
      </c>
      <c r="U38" s="32">
        <f t="shared" si="3"/>
        <v>225387.7603</v>
      </c>
      <c r="V38" s="23">
        <f t="shared" si="3"/>
        <v>267696.5244</v>
      </c>
      <c r="W38" s="23">
        <f t="shared" si="3"/>
        <v>254017.5422</v>
      </c>
      <c r="X38" s="23">
        <f t="shared" si="3"/>
        <v>157167.7106</v>
      </c>
      <c r="Y38" s="23">
        <f t="shared" si="3"/>
        <v>331801.0019</v>
      </c>
      <c r="Z38" s="23">
        <f t="shared" si="3"/>
        <v>458728.6665</v>
      </c>
    </row>
    <row r="39" ht="15.75" customHeight="1">
      <c r="A39" s="19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9"/>
      <c r="T39" s="28"/>
      <c r="U39" s="27"/>
      <c r="V39" s="27"/>
      <c r="W39" s="27"/>
      <c r="X39" s="27"/>
      <c r="Y39" s="27"/>
      <c r="Z39" s="27"/>
    </row>
    <row r="40" ht="15.75" customHeight="1">
      <c r="A40" s="27" t="s">
        <v>50</v>
      </c>
      <c r="B40" s="23">
        <f t="shared" ref="B40:Z40" si="4">+B24-B38</f>
        <v>26885</v>
      </c>
      <c r="C40" s="23">
        <f t="shared" si="4"/>
        <v>53516</v>
      </c>
      <c r="D40" s="23">
        <f t="shared" si="4"/>
        <v>70353</v>
      </c>
      <c r="E40" s="23">
        <f t="shared" si="4"/>
        <v>59361</v>
      </c>
      <c r="F40" s="23">
        <f t="shared" si="4"/>
        <v>74174</v>
      </c>
      <c r="G40" s="23">
        <f t="shared" si="4"/>
        <v>76470</v>
      </c>
      <c r="H40" s="23">
        <f t="shared" si="4"/>
        <v>101962</v>
      </c>
      <c r="I40" s="23">
        <f t="shared" si="4"/>
        <v>149698.5</v>
      </c>
      <c r="J40" s="23">
        <f t="shared" si="4"/>
        <v>179094.7</v>
      </c>
      <c r="K40" s="23">
        <f t="shared" si="4"/>
        <v>222909</v>
      </c>
      <c r="L40" s="23">
        <f t="shared" si="4"/>
        <v>286984.7</v>
      </c>
      <c r="M40" s="23">
        <f t="shared" si="4"/>
        <v>264389.1315</v>
      </c>
      <c r="N40" s="23">
        <f t="shared" si="4"/>
        <v>314413.9153</v>
      </c>
      <c r="O40" s="23">
        <f t="shared" si="4"/>
        <v>455666.7348</v>
      </c>
      <c r="P40" s="23">
        <f t="shared" si="4"/>
        <v>533414.7422</v>
      </c>
      <c r="Q40" s="23">
        <f t="shared" si="4"/>
        <v>572491.8974</v>
      </c>
      <c r="R40" s="23">
        <f t="shared" si="4"/>
        <v>473480.5152</v>
      </c>
      <c r="S40" s="23">
        <f t="shared" si="4"/>
        <v>305160.2877</v>
      </c>
      <c r="T40" s="23">
        <f t="shared" si="4"/>
        <v>346832.3621</v>
      </c>
      <c r="U40" s="23">
        <f t="shared" si="4"/>
        <v>429436.3064</v>
      </c>
      <c r="V40" s="23">
        <f t="shared" si="4"/>
        <v>629151.7629</v>
      </c>
      <c r="W40" s="23">
        <f t="shared" si="4"/>
        <v>588725.0209</v>
      </c>
      <c r="X40" s="23">
        <f t="shared" si="4"/>
        <v>412040.5239</v>
      </c>
      <c r="Y40" s="23">
        <f t="shared" si="4"/>
        <v>746295.9665</v>
      </c>
      <c r="Z40" s="23">
        <f t="shared" si="4"/>
        <v>1017497.146</v>
      </c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33"/>
      <c r="P41" s="19"/>
      <c r="Q41" s="19"/>
      <c r="R41" s="24"/>
      <c r="S41" s="19"/>
      <c r="T41" s="28"/>
      <c r="U41" s="27"/>
      <c r="V41" s="27"/>
      <c r="W41" s="27"/>
      <c r="X41" s="27"/>
      <c r="Y41" s="27"/>
      <c r="Z41" s="27"/>
    </row>
    <row r="42" ht="15.75" customHeight="1">
      <c r="A42" s="27" t="s">
        <v>51</v>
      </c>
      <c r="B42" s="32">
        <f t="shared" ref="B42:Z42" si="5">+B38-B22</f>
        <v>-11968</v>
      </c>
      <c r="C42" s="32">
        <f t="shared" si="5"/>
        <v>-13488</v>
      </c>
      <c r="D42" s="32">
        <f t="shared" si="5"/>
        <v>-4421</v>
      </c>
      <c r="E42" s="32">
        <f t="shared" si="5"/>
        <v>1036</v>
      </c>
      <c r="F42" s="32">
        <f t="shared" si="5"/>
        <v>2021</v>
      </c>
      <c r="G42" s="32">
        <f t="shared" si="5"/>
        <v>7058</v>
      </c>
      <c r="H42" s="32">
        <f t="shared" si="5"/>
        <v>15041</v>
      </c>
      <c r="I42" s="32">
        <f t="shared" si="5"/>
        <v>22003.5</v>
      </c>
      <c r="J42" s="32">
        <f t="shared" si="5"/>
        <v>39934.3</v>
      </c>
      <c r="K42" s="32">
        <f t="shared" si="5"/>
        <v>49790</v>
      </c>
      <c r="L42" s="32">
        <f t="shared" si="5"/>
        <v>61319.3</v>
      </c>
      <c r="M42" s="32">
        <f t="shared" si="5"/>
        <v>110887.8685</v>
      </c>
      <c r="N42" s="32">
        <f t="shared" si="5"/>
        <v>140862.3847</v>
      </c>
      <c r="O42" s="32">
        <f t="shared" si="5"/>
        <v>216553.1074</v>
      </c>
      <c r="P42" s="32">
        <f t="shared" si="5"/>
        <v>251237.5371</v>
      </c>
      <c r="Q42" s="32">
        <f t="shared" si="5"/>
        <v>292382.8822</v>
      </c>
      <c r="R42" s="32">
        <f t="shared" si="5"/>
        <v>213935.6591</v>
      </c>
      <c r="S42" s="32">
        <f t="shared" si="5"/>
        <v>111418.5574</v>
      </c>
      <c r="T42" s="32">
        <f t="shared" si="5"/>
        <v>123326.9557</v>
      </c>
      <c r="U42" s="32">
        <f t="shared" si="5"/>
        <v>137013.8417</v>
      </c>
      <c r="V42" s="23">
        <f t="shared" si="5"/>
        <v>154031.0872</v>
      </c>
      <c r="W42" s="23">
        <f t="shared" si="5"/>
        <v>128275.9543</v>
      </c>
      <c r="X42" s="23">
        <f t="shared" si="5"/>
        <v>47738.0453</v>
      </c>
      <c r="Y42" s="23">
        <f t="shared" si="5"/>
        <v>154966.2254</v>
      </c>
      <c r="Z42" s="23">
        <f t="shared" si="5"/>
        <v>242874.6784</v>
      </c>
    </row>
    <row r="43" ht="12.0" customHeight="1">
      <c r="A43" s="40" t="s">
        <v>52</v>
      </c>
      <c r="B43" s="41"/>
      <c r="C43" s="42"/>
      <c r="D43" s="42"/>
      <c r="E43" s="42"/>
      <c r="F43" s="42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2"/>
      <c r="V43" s="2"/>
      <c r="W43" s="2"/>
      <c r="X43" s="2"/>
      <c r="Y43" s="2"/>
      <c r="Z43" s="2"/>
    </row>
    <row r="44" ht="15.0" customHeight="1">
      <c r="A44" s="44" t="s">
        <v>53</v>
      </c>
      <c r="B44" s="45"/>
      <c r="C44" s="45"/>
      <c r="D44" s="45"/>
      <c r="E44" s="45"/>
      <c r="F44" s="45"/>
      <c r="G44" s="46"/>
      <c r="H44" s="46"/>
      <c r="I44" s="46"/>
      <c r="J44" s="46"/>
      <c r="K44" s="46"/>
      <c r="L44" s="46"/>
      <c r="M44" s="4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7" t="s">
        <v>54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7" t="s">
        <v>55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7" t="s">
        <v>56</v>
      </c>
      <c r="B47" s="2"/>
      <c r="C47" s="2"/>
      <c r="D47" s="2"/>
      <c r="E47" s="2"/>
      <c r="F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7" t="s">
        <v>57</v>
      </c>
      <c r="B48" s="2"/>
      <c r="C48" s="2"/>
      <c r="D48" s="2"/>
      <c r="E48" s="2"/>
      <c r="F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7" t="s">
        <v>58</v>
      </c>
      <c r="B49" s="2"/>
      <c r="C49" s="2"/>
      <c r="D49" s="2"/>
      <c r="E49" s="2"/>
      <c r="F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7" t="s">
        <v>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7" t="s">
        <v>60</v>
      </c>
      <c r="B51" s="45"/>
      <c r="C51" s="45"/>
      <c r="D51" s="45"/>
      <c r="E51" s="45"/>
      <c r="F51" s="4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4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4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4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4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4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4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4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4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4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4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4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4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4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4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4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4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4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4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4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4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4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4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4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4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4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4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4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4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4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4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4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4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4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4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4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4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4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4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4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4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4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4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4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4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4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4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4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4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4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4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4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4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4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4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4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4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4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4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4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4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4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4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4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4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4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4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4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4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4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4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4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4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4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4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4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4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4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4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4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4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4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4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4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4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4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4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4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4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4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4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4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4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4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4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4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4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4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4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4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4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4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4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4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4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4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4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4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4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4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4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4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4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4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4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4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4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4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4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4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4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4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4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4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4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4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4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4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4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4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4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4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4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4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4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4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4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4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4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4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4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4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4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4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4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4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4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4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4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4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4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4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4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4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4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4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4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4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4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4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4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4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4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4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4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4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4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4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4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4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4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4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4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4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4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4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4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4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4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4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4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4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4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4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4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4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4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4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4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4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4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4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4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4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4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4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4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4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4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4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4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4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4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4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4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4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4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4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4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4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4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4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4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4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4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4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4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6:Z6"/>
    <mergeCell ref="A7:X7"/>
    <mergeCell ref="A43:B43"/>
  </mergeCells>
  <printOptions/>
  <pageMargins bottom="0.75" footer="0.0" header="0.0" left="0.0" right="0.0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29"/>
    <col customWidth="1" min="2" max="14" width="17.57"/>
    <col customWidth="1" min="15" max="26" width="8.71"/>
  </cols>
  <sheetData>
    <row r="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>
      <c r="A4" s="4"/>
      <c r="B4" s="51"/>
      <c r="C4" s="51"/>
      <c r="D4" s="51"/>
      <c r="E4" s="3" t="s">
        <v>0</v>
      </c>
      <c r="F4" s="51"/>
      <c r="G4" s="51"/>
      <c r="H4" s="51"/>
      <c r="I4" s="51"/>
      <c r="J4" s="51"/>
      <c r="K4" s="51"/>
      <c r="L4" s="51"/>
      <c r="M4" s="51"/>
      <c r="N4" s="51"/>
    </row>
    <row r="5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>
      <c r="A6" s="52" t="s">
        <v>27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>
      <c r="A7" s="54" t="s">
        <v>61</v>
      </c>
    </row>
    <row r="8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</row>
    <row r="9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</row>
    <row r="10">
      <c r="A10" s="18" t="s">
        <v>28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>
      <c r="A11" s="22" t="s">
        <v>75</v>
      </c>
      <c r="B11" s="31">
        <v>128800.06584155018</v>
      </c>
      <c r="C11" s="31">
        <v>119633.621810541</v>
      </c>
      <c r="D11" s="31">
        <v>121897.63969956485</v>
      </c>
      <c r="E11" s="31">
        <v>128755.46490262874</v>
      </c>
      <c r="F11" s="31">
        <v>104567.31614182114</v>
      </c>
      <c r="G11" s="31">
        <v>95157.74152529074</v>
      </c>
      <c r="H11" s="31">
        <v>99194.38551123781</v>
      </c>
      <c r="I11" s="31">
        <v>100258.75918442282</v>
      </c>
      <c r="J11" s="31">
        <v>94253.2374006114</v>
      </c>
      <c r="K11" s="31">
        <v>92441.85483009912</v>
      </c>
      <c r="L11" s="31">
        <v>85798.25892122452</v>
      </c>
      <c r="M11" s="31">
        <v>89613.47857777783</v>
      </c>
      <c r="N11" s="25">
        <f>SUM(B11:M11)</f>
        <v>1260371.824</v>
      </c>
    </row>
    <row r="12">
      <c r="A12" s="22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</row>
    <row r="13">
      <c r="A13" s="31" t="s">
        <v>31</v>
      </c>
      <c r="B13" s="31">
        <v>11742.672247232804</v>
      </c>
      <c r="C13" s="31">
        <v>9255.450967807881</v>
      </c>
      <c r="D13" s="31">
        <v>7620.448303554254</v>
      </c>
      <c r="E13" s="31">
        <v>8397.369657198695</v>
      </c>
      <c r="F13" s="31">
        <v>8569.86461960022</v>
      </c>
      <c r="G13" s="31">
        <v>7569.740256420605</v>
      </c>
      <c r="H13" s="31">
        <v>6864.873916887183</v>
      </c>
      <c r="I13" s="31">
        <v>9211.218179136544</v>
      </c>
      <c r="J13" s="31">
        <v>9489.07886463289</v>
      </c>
      <c r="K13" s="31">
        <v>8825.4002814885</v>
      </c>
      <c r="L13" s="31">
        <v>10878.430968464912</v>
      </c>
      <c r="M13" s="31">
        <v>8766.619778192131</v>
      </c>
      <c r="N13" s="25">
        <f t="shared" ref="N13:N23" si="1">SUM(B13:M13)</f>
        <v>107191.168</v>
      </c>
    </row>
    <row r="14">
      <c r="A14" s="61" t="s">
        <v>32</v>
      </c>
      <c r="B14" s="31">
        <v>0.0</v>
      </c>
      <c r="C14" s="31">
        <v>314.4505956</v>
      </c>
      <c r="D14" s="31">
        <v>1620.7635287737048</v>
      </c>
      <c r="E14" s="31">
        <v>619.8408012886297</v>
      </c>
      <c r="F14" s="31">
        <v>0.1369074</v>
      </c>
      <c r="G14" s="31">
        <v>1395.2888663219835</v>
      </c>
      <c r="H14" s="31">
        <v>2433.8629538500318</v>
      </c>
      <c r="I14" s="31">
        <v>1620.1603982408667</v>
      </c>
      <c r="J14" s="31">
        <v>841.6799700851012</v>
      </c>
      <c r="K14" s="31">
        <v>0.2713627</v>
      </c>
      <c r="L14" s="31">
        <v>0.0</v>
      </c>
      <c r="M14" s="31">
        <v>0.0</v>
      </c>
      <c r="N14" s="25">
        <f t="shared" si="1"/>
        <v>8846.455384</v>
      </c>
    </row>
    <row r="15">
      <c r="A15" s="31" t="s">
        <v>33</v>
      </c>
      <c r="B15" s="31">
        <v>241.16155640693927</v>
      </c>
      <c r="C15" s="31">
        <v>260.2222688</v>
      </c>
      <c r="D15" s="31">
        <v>13.8681977</v>
      </c>
      <c r="E15" s="31">
        <v>924.0060652443741</v>
      </c>
      <c r="F15" s="31">
        <v>475.247839133323</v>
      </c>
      <c r="G15" s="31">
        <v>355.425255691241</v>
      </c>
      <c r="H15" s="31">
        <v>636.94037275344</v>
      </c>
      <c r="I15" s="31">
        <v>173.61043654513992</v>
      </c>
      <c r="J15" s="31">
        <v>388.0545023858906</v>
      </c>
      <c r="K15" s="31">
        <v>184.145778715469</v>
      </c>
      <c r="L15" s="31">
        <v>687.0982900456929</v>
      </c>
      <c r="M15" s="31">
        <v>441.550779782992</v>
      </c>
      <c r="N15" s="25">
        <f t="shared" si="1"/>
        <v>4781.331343</v>
      </c>
    </row>
    <row r="16">
      <c r="A16" s="31" t="s">
        <v>34</v>
      </c>
      <c r="B16" s="31">
        <v>0.0</v>
      </c>
      <c r="C16" s="31">
        <v>0.0013425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25">
        <f t="shared" si="1"/>
        <v>0.0013425</v>
      </c>
    </row>
    <row r="17">
      <c r="A17" s="61" t="s">
        <v>35</v>
      </c>
      <c r="B17" s="31">
        <v>0.0</v>
      </c>
      <c r="C17" s="31">
        <v>0.0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25">
        <f t="shared" si="1"/>
        <v>0</v>
      </c>
    </row>
    <row r="18">
      <c r="A18" s="31" t="s">
        <v>36</v>
      </c>
      <c r="B18" s="31">
        <v>22.398762599999998</v>
      </c>
      <c r="C18" s="31">
        <v>102.7777177</v>
      </c>
      <c r="D18" s="31">
        <v>1530.4304413040443</v>
      </c>
      <c r="E18" s="31">
        <v>1432.4401845096302</v>
      </c>
      <c r="F18" s="31">
        <v>86.03771010000001</v>
      </c>
      <c r="G18" s="31">
        <v>14.5286481</v>
      </c>
      <c r="H18" s="31">
        <v>91.96575009999998</v>
      </c>
      <c r="I18" s="31">
        <v>66.53854439999999</v>
      </c>
      <c r="J18" s="31">
        <v>118.0504272</v>
      </c>
      <c r="K18" s="31">
        <v>45.498867499999996</v>
      </c>
      <c r="L18" s="31">
        <v>43.6088988</v>
      </c>
      <c r="M18" s="31">
        <v>29.765529899999997</v>
      </c>
      <c r="N18" s="25">
        <f t="shared" si="1"/>
        <v>3584.041482</v>
      </c>
    </row>
    <row r="19">
      <c r="A19" s="31" t="s">
        <v>37</v>
      </c>
      <c r="B19" s="31">
        <v>1591.074813046877</v>
      </c>
      <c r="C19" s="31">
        <v>1680.7704203280437</v>
      </c>
      <c r="D19" s="31">
        <v>1579.928014141002</v>
      </c>
      <c r="E19" s="31">
        <v>2086.711479451495</v>
      </c>
      <c r="F19" s="31">
        <v>1616.9315867464402</v>
      </c>
      <c r="G19" s="31">
        <v>1282.3926035000004</v>
      </c>
      <c r="H19" s="31">
        <v>1887.5093722866475</v>
      </c>
      <c r="I19" s="31">
        <v>1420.5142739686253</v>
      </c>
      <c r="J19" s="31">
        <v>1204.4994348594319</v>
      </c>
      <c r="K19" s="31">
        <v>1183.352966893111</v>
      </c>
      <c r="L19" s="31">
        <v>1514.6666808505731</v>
      </c>
      <c r="M19" s="31">
        <v>1401.0158958692932</v>
      </c>
      <c r="N19" s="25">
        <f t="shared" si="1"/>
        <v>18449.36754</v>
      </c>
    </row>
    <row r="20">
      <c r="A20" s="31" t="s">
        <v>38</v>
      </c>
      <c r="B20" s="31">
        <v>5016.075287556094</v>
      </c>
      <c r="C20" s="31">
        <v>2519.273724684115</v>
      </c>
      <c r="D20" s="31">
        <v>3067.649261029955</v>
      </c>
      <c r="E20" s="31">
        <v>3545.668755734758</v>
      </c>
      <c r="F20" s="31">
        <v>2952.61007367928</v>
      </c>
      <c r="G20" s="31">
        <v>2178.969339989651</v>
      </c>
      <c r="H20" s="31">
        <v>2472.88585476825</v>
      </c>
      <c r="I20" s="31">
        <v>2037.898288967225</v>
      </c>
      <c r="J20" s="31">
        <v>2952.3115680838127</v>
      </c>
      <c r="K20" s="31">
        <v>2764.797674431685</v>
      </c>
      <c r="L20" s="31">
        <v>1893.7300631388428</v>
      </c>
      <c r="M20" s="31">
        <v>2072.375976221641</v>
      </c>
      <c r="N20" s="25">
        <f t="shared" si="1"/>
        <v>33474.24587</v>
      </c>
    </row>
    <row r="21" ht="15.75" customHeight="1">
      <c r="A21" s="31" t="s">
        <v>39</v>
      </c>
      <c r="B21" s="31">
        <v>1047.5565344</v>
      </c>
      <c r="C21" s="31">
        <v>1020.9421413</v>
      </c>
      <c r="D21" s="31">
        <v>804.3487788</v>
      </c>
      <c r="E21" s="31">
        <v>451.78709219999996</v>
      </c>
      <c r="F21" s="31">
        <v>236.9131816</v>
      </c>
      <c r="G21" s="31">
        <v>394.6996765</v>
      </c>
      <c r="H21" s="31">
        <v>773.5719200000001</v>
      </c>
      <c r="I21" s="31">
        <v>1105.4384407845632</v>
      </c>
      <c r="J21" s="31">
        <v>1021.8654855</v>
      </c>
      <c r="K21" s="31">
        <v>914.5458493</v>
      </c>
      <c r="L21" s="31">
        <v>986.6227183</v>
      </c>
      <c r="M21" s="31">
        <v>1186.7844415000002</v>
      </c>
      <c r="N21" s="25">
        <f t="shared" si="1"/>
        <v>9945.07626</v>
      </c>
    </row>
    <row r="22" ht="15.75" customHeight="1">
      <c r="A22" s="31" t="s">
        <v>77</v>
      </c>
      <c r="B22" s="31">
        <v>1704.7948859</v>
      </c>
      <c r="C22" s="31">
        <v>1675.7071336</v>
      </c>
      <c r="D22" s="31">
        <v>1461.5899387999998</v>
      </c>
      <c r="E22" s="31">
        <v>1787.0968663999997</v>
      </c>
      <c r="F22" s="31">
        <v>1351.0164373000002</v>
      </c>
      <c r="G22" s="31">
        <v>1020.8874268999998</v>
      </c>
      <c r="H22" s="31">
        <v>1587.7222273</v>
      </c>
      <c r="I22" s="31">
        <v>1709.9420129</v>
      </c>
      <c r="J22" s="31">
        <v>971.6253161</v>
      </c>
      <c r="K22" s="31">
        <v>1356.0311656000001</v>
      </c>
      <c r="L22" s="31">
        <v>1351.3822379</v>
      </c>
      <c r="M22" s="31">
        <v>2179.5632885</v>
      </c>
      <c r="N22" s="25">
        <f t="shared" si="1"/>
        <v>18157.35894</v>
      </c>
    </row>
    <row r="23" ht="15.75" customHeight="1">
      <c r="A23" s="31" t="s">
        <v>78</v>
      </c>
      <c r="B23" s="31">
        <v>1091.9774634221205</v>
      </c>
      <c r="C23" s="31">
        <v>1318.3055674054667</v>
      </c>
      <c r="D23" s="31">
        <v>765.3319327561697</v>
      </c>
      <c r="E23" s="31">
        <v>618.9691915841676</v>
      </c>
      <c r="F23" s="31">
        <v>1120.118703389514</v>
      </c>
      <c r="G23" s="31">
        <v>646.2074432844867</v>
      </c>
      <c r="H23" s="31">
        <v>604.4794625003561</v>
      </c>
      <c r="I23" s="31">
        <v>673.1964419751198</v>
      </c>
      <c r="J23" s="31">
        <v>855.074573966481</v>
      </c>
      <c r="K23" s="31">
        <v>1177.0664569112087</v>
      </c>
      <c r="L23" s="31">
        <v>589.7074138190349</v>
      </c>
      <c r="M23" s="31">
        <v>1964.5072478634606</v>
      </c>
      <c r="N23" s="25">
        <f t="shared" si="1"/>
        <v>11424.9419</v>
      </c>
    </row>
    <row r="24" ht="15.75" customHeight="1">
      <c r="A24" s="62" t="s">
        <v>79</v>
      </c>
      <c r="B24" s="63">
        <f t="shared" ref="B24:N24" si="2">SUM(B13:B23)</f>
        <v>22457.71155</v>
      </c>
      <c r="C24" s="63">
        <f t="shared" si="2"/>
        <v>18147.90188</v>
      </c>
      <c r="D24" s="63">
        <f t="shared" si="2"/>
        <v>18464.3584</v>
      </c>
      <c r="E24" s="63">
        <f t="shared" si="2"/>
        <v>19863.89009</v>
      </c>
      <c r="F24" s="63">
        <f t="shared" si="2"/>
        <v>16408.87706</v>
      </c>
      <c r="G24" s="63">
        <f t="shared" si="2"/>
        <v>14858.13952</v>
      </c>
      <c r="H24" s="63">
        <f t="shared" si="2"/>
        <v>17353.81183</v>
      </c>
      <c r="I24" s="63">
        <f t="shared" si="2"/>
        <v>18018.51702</v>
      </c>
      <c r="J24" s="63">
        <f t="shared" si="2"/>
        <v>17842.24014</v>
      </c>
      <c r="K24" s="63">
        <f t="shared" si="2"/>
        <v>16451.1104</v>
      </c>
      <c r="L24" s="63">
        <f t="shared" si="2"/>
        <v>17945.24727</v>
      </c>
      <c r="M24" s="63">
        <f t="shared" si="2"/>
        <v>18042.18294</v>
      </c>
      <c r="N24" s="63">
        <f t="shared" si="2"/>
        <v>215853.9881</v>
      </c>
    </row>
    <row r="25" ht="15.75" customHeight="1">
      <c r="A25" s="64" t="s">
        <v>80</v>
      </c>
      <c r="B25" s="63">
        <f t="shared" ref="B25:F25" si="3">+B24+B11</f>
        <v>151257.7774</v>
      </c>
      <c r="C25" s="63">
        <f t="shared" si="3"/>
        <v>137781.5237</v>
      </c>
      <c r="D25" s="63">
        <f t="shared" si="3"/>
        <v>140361.9981</v>
      </c>
      <c r="E25" s="63">
        <f t="shared" si="3"/>
        <v>148619.355</v>
      </c>
      <c r="F25" s="63">
        <f t="shared" si="3"/>
        <v>120976.1932</v>
      </c>
      <c r="G25" s="63">
        <f t="shared" ref="G25:N25" si="4">+G11+G24</f>
        <v>110015.881</v>
      </c>
      <c r="H25" s="63">
        <f t="shared" si="4"/>
        <v>116548.1973</v>
      </c>
      <c r="I25" s="63">
        <f t="shared" si="4"/>
        <v>118277.2762</v>
      </c>
      <c r="J25" s="63">
        <f t="shared" si="4"/>
        <v>112095.4775</v>
      </c>
      <c r="K25" s="63">
        <f t="shared" si="4"/>
        <v>108892.9652</v>
      </c>
      <c r="L25" s="63">
        <f t="shared" si="4"/>
        <v>103743.5062</v>
      </c>
      <c r="M25" s="63">
        <f t="shared" si="4"/>
        <v>107655.6615</v>
      </c>
      <c r="N25" s="63">
        <f t="shared" si="4"/>
        <v>1476225.812</v>
      </c>
    </row>
    <row r="26" ht="15.75" customHeight="1">
      <c r="A26" s="18" t="s">
        <v>43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25"/>
    </row>
    <row r="27" ht="15.75" customHeight="1">
      <c r="A27" s="31" t="s">
        <v>31</v>
      </c>
      <c r="B27" s="31">
        <v>396.9238975</v>
      </c>
      <c r="C27" s="31">
        <v>418.9701402</v>
      </c>
      <c r="D27" s="31">
        <v>413.1371891</v>
      </c>
      <c r="E27" s="31">
        <v>312.20178030000005</v>
      </c>
      <c r="F27" s="31">
        <v>287.6589038</v>
      </c>
      <c r="G27" s="31">
        <v>270.1505282</v>
      </c>
      <c r="H27" s="31">
        <v>278.2423244</v>
      </c>
      <c r="I27" s="31">
        <v>254.6303195</v>
      </c>
      <c r="J27" s="31">
        <v>276.8341805</v>
      </c>
      <c r="K27" s="31">
        <v>315.5333654</v>
      </c>
      <c r="L27" s="31">
        <v>267.8011239</v>
      </c>
      <c r="M27" s="31">
        <v>399.0784317</v>
      </c>
      <c r="N27" s="25">
        <f t="shared" ref="N27:N38" si="5">SUM(B27:M27)</f>
        <v>3891.162185</v>
      </c>
    </row>
    <row r="28" ht="15.75" customHeight="1">
      <c r="A28" s="61" t="s">
        <v>81</v>
      </c>
      <c r="B28" s="31">
        <v>12030.341100920748</v>
      </c>
      <c r="C28" s="31">
        <v>11527.74588958881</v>
      </c>
      <c r="D28" s="31">
        <v>12351.79043904</v>
      </c>
      <c r="E28" s="31">
        <v>9095.554197246</v>
      </c>
      <c r="F28" s="31">
        <v>7325.3684196780005</v>
      </c>
      <c r="G28" s="31">
        <v>4580.661844541</v>
      </c>
      <c r="H28" s="31">
        <v>3312.671710829</v>
      </c>
      <c r="I28" s="31">
        <v>5736.160145138</v>
      </c>
      <c r="J28" s="31">
        <v>8138.867580369</v>
      </c>
      <c r="K28" s="31">
        <v>8424.650741578</v>
      </c>
      <c r="L28" s="31">
        <v>9774.353902513998</v>
      </c>
      <c r="M28" s="31">
        <v>10501.446971342</v>
      </c>
      <c r="N28" s="25">
        <f t="shared" si="5"/>
        <v>102799.6129</v>
      </c>
    </row>
    <row r="29" ht="15.75" customHeight="1">
      <c r="A29" s="31" t="s">
        <v>82</v>
      </c>
      <c r="B29" s="31">
        <v>4217.798558753566</v>
      </c>
      <c r="C29" s="31">
        <v>3643.541703071265</v>
      </c>
      <c r="D29" s="31">
        <v>5154.58688910738</v>
      </c>
      <c r="E29" s="31">
        <v>2168.2852138066</v>
      </c>
      <c r="F29" s="31">
        <v>2274.905424416554</v>
      </c>
      <c r="G29" s="31">
        <v>2331.018926962285</v>
      </c>
      <c r="H29" s="31">
        <v>2009.0469272956318</v>
      </c>
      <c r="I29" s="31">
        <v>2335.9553956185</v>
      </c>
      <c r="J29" s="31">
        <v>2245.718117827195</v>
      </c>
      <c r="K29" s="31">
        <v>1812.002976794242</v>
      </c>
      <c r="L29" s="31">
        <v>2342.994244508329</v>
      </c>
      <c r="M29" s="31">
        <v>2820.7207010590964</v>
      </c>
      <c r="N29" s="25">
        <f t="shared" si="5"/>
        <v>33356.57508</v>
      </c>
    </row>
    <row r="30" ht="15.75" customHeight="1">
      <c r="A30" s="31" t="s">
        <v>83</v>
      </c>
      <c r="B30" s="31">
        <v>2889.122334846</v>
      </c>
      <c r="C30" s="31">
        <v>4073.10439297</v>
      </c>
      <c r="D30" s="31">
        <v>6051.49328921</v>
      </c>
      <c r="E30" s="31">
        <v>5085.644739858999</v>
      </c>
      <c r="F30" s="31">
        <v>6365.596199604</v>
      </c>
      <c r="G30" s="31">
        <v>5317.838667452001</v>
      </c>
      <c r="H30" s="31">
        <v>5347.423806248</v>
      </c>
      <c r="I30" s="31">
        <v>4880.098201227</v>
      </c>
      <c r="J30" s="31">
        <v>4543.676094453001</v>
      </c>
      <c r="K30" s="31">
        <v>4429.260618488</v>
      </c>
      <c r="L30" s="31">
        <v>4604.405352344</v>
      </c>
      <c r="M30" s="31">
        <v>5010.4127537039985</v>
      </c>
      <c r="N30" s="25">
        <f t="shared" si="5"/>
        <v>58598.07645</v>
      </c>
    </row>
    <row r="31" ht="15.75" customHeight="1">
      <c r="A31" s="61" t="s">
        <v>35</v>
      </c>
      <c r="B31" s="31">
        <v>17.4011253</v>
      </c>
      <c r="C31" s="31">
        <v>6.367797700000001</v>
      </c>
      <c r="D31" s="31">
        <v>12.2930587</v>
      </c>
      <c r="E31" s="31">
        <v>10.8587494</v>
      </c>
      <c r="F31" s="31">
        <v>4.588173</v>
      </c>
      <c r="G31" s="31">
        <v>7.4526338</v>
      </c>
      <c r="H31" s="31">
        <v>6.4208078</v>
      </c>
      <c r="I31" s="31">
        <v>8.031775999999999</v>
      </c>
      <c r="J31" s="31">
        <v>8.2406516</v>
      </c>
      <c r="K31" s="31">
        <v>7.3006848</v>
      </c>
      <c r="L31" s="31">
        <v>4.5058237</v>
      </c>
      <c r="M31" s="31">
        <v>7.0197049</v>
      </c>
      <c r="N31" s="25">
        <f t="shared" si="5"/>
        <v>100.4809867</v>
      </c>
    </row>
    <row r="32" ht="15.75" customHeight="1">
      <c r="A32" s="31" t="s">
        <v>36</v>
      </c>
      <c r="B32" s="31">
        <v>22851.559414085554</v>
      </c>
      <c r="C32" s="31">
        <v>27541.927201186285</v>
      </c>
      <c r="D32" s="31">
        <v>24876.91977349192</v>
      </c>
      <c r="E32" s="31">
        <v>19133.375825632</v>
      </c>
      <c r="F32" s="31">
        <v>19619.724952914763</v>
      </c>
      <c r="G32" s="31">
        <v>21040.053990274082</v>
      </c>
      <c r="H32" s="31">
        <v>17901.670569250917</v>
      </c>
      <c r="I32" s="31">
        <v>15873.609370051907</v>
      </c>
      <c r="J32" s="31">
        <v>17381.5453611302</v>
      </c>
      <c r="K32" s="31">
        <v>14375.31935498689</v>
      </c>
      <c r="L32" s="31">
        <v>14676.246378680597</v>
      </c>
      <c r="M32" s="31">
        <v>15541.50400307156</v>
      </c>
      <c r="N32" s="25">
        <f t="shared" si="5"/>
        <v>230813.4562</v>
      </c>
    </row>
    <row r="33" ht="15.75" customHeight="1">
      <c r="A33" s="31" t="s">
        <v>46</v>
      </c>
      <c r="B33" s="31">
        <v>0.78996</v>
      </c>
      <c r="C33" s="31">
        <v>1.03938</v>
      </c>
      <c r="D33" s="31">
        <v>0.86812</v>
      </c>
      <c r="E33" s="31">
        <v>1.183684</v>
      </c>
      <c r="F33" s="31">
        <v>0.742832</v>
      </c>
      <c r="G33" s="31">
        <v>1.004124</v>
      </c>
      <c r="H33" s="31">
        <v>1.264924</v>
      </c>
      <c r="I33" s="31">
        <v>1.200176</v>
      </c>
      <c r="J33" s="31">
        <v>1.515756</v>
      </c>
      <c r="K33" s="31">
        <v>0.8352</v>
      </c>
      <c r="L33" s="31">
        <v>1.14728</v>
      </c>
      <c r="M33" s="31">
        <v>1.23222</v>
      </c>
      <c r="N33" s="25">
        <f t="shared" si="5"/>
        <v>12.823656</v>
      </c>
    </row>
    <row r="34" ht="15.75" customHeight="1">
      <c r="A34" s="31" t="s">
        <v>47</v>
      </c>
      <c r="B34" s="31">
        <v>34.47028954882</v>
      </c>
      <c r="C34" s="31">
        <v>6.349315037411151</v>
      </c>
      <c r="D34" s="31">
        <v>16.67398309792</v>
      </c>
      <c r="E34" s="31">
        <v>13.010111349359999</v>
      </c>
      <c r="F34" s="31">
        <v>8.0334882155</v>
      </c>
      <c r="G34" s="31">
        <v>13.616912786459997</v>
      </c>
      <c r="H34" s="31">
        <v>7.89426729588</v>
      </c>
      <c r="I34" s="31">
        <v>11.47833282815</v>
      </c>
      <c r="J34" s="31">
        <v>10.09778787866</v>
      </c>
      <c r="K34" s="31">
        <v>10.365421692329997</v>
      </c>
      <c r="L34" s="31">
        <v>6.741697423</v>
      </c>
      <c r="M34" s="31">
        <v>66.14337567316</v>
      </c>
      <c r="N34" s="25">
        <f t="shared" si="5"/>
        <v>204.8749828</v>
      </c>
    </row>
    <row r="35" ht="15.75" customHeight="1">
      <c r="A35" s="31" t="s">
        <v>38</v>
      </c>
      <c r="B35" s="31">
        <v>261.256768108</v>
      </c>
      <c r="C35" s="31">
        <v>460.710807561</v>
      </c>
      <c r="D35" s="31">
        <v>612.4425572</v>
      </c>
      <c r="E35" s="31">
        <v>722.8859759999999</v>
      </c>
      <c r="F35" s="31">
        <v>1046.9749008000001</v>
      </c>
      <c r="G35" s="31">
        <v>546.3184508</v>
      </c>
      <c r="H35" s="31">
        <v>968.4973676766047</v>
      </c>
      <c r="I35" s="31">
        <v>720.7302455</v>
      </c>
      <c r="J35" s="31">
        <v>925.5090269</v>
      </c>
      <c r="K35" s="31">
        <v>685.2212915288733</v>
      </c>
      <c r="L35" s="31">
        <v>324.5380569</v>
      </c>
      <c r="M35" s="31">
        <v>559.1047427999999</v>
      </c>
      <c r="N35" s="25">
        <f t="shared" si="5"/>
        <v>7834.190192</v>
      </c>
    </row>
    <row r="36" ht="15.75" customHeight="1">
      <c r="A36" s="31" t="s">
        <v>39</v>
      </c>
      <c r="B36" s="31">
        <v>0.1164737</v>
      </c>
      <c r="C36" s="31">
        <v>0.7778321</v>
      </c>
      <c r="D36" s="31">
        <v>5.669285199999999</v>
      </c>
      <c r="E36" s="31">
        <v>0.2459777</v>
      </c>
      <c r="F36" s="31">
        <v>0.0999142</v>
      </c>
      <c r="G36" s="31">
        <v>10.2423485</v>
      </c>
      <c r="H36" s="31">
        <v>10.962852000000002</v>
      </c>
      <c r="I36" s="31">
        <v>0.48328930000000003</v>
      </c>
      <c r="J36" s="31">
        <v>0.4495835</v>
      </c>
      <c r="K36" s="31">
        <v>0.2045987</v>
      </c>
      <c r="L36" s="31">
        <v>1.3071378</v>
      </c>
      <c r="M36" s="31">
        <v>11.8529753</v>
      </c>
      <c r="N36" s="25">
        <f t="shared" si="5"/>
        <v>42.412268</v>
      </c>
    </row>
    <row r="37" ht="15.75" customHeight="1">
      <c r="A37" s="31" t="s">
        <v>84</v>
      </c>
      <c r="B37" s="31">
        <v>15.541077893999999</v>
      </c>
      <c r="C37" s="31">
        <v>124.0929989971</v>
      </c>
      <c r="D37" s="31">
        <v>129.881668006</v>
      </c>
      <c r="E37" s="31">
        <v>35.265886638</v>
      </c>
      <c r="F37" s="31">
        <v>32.755973949</v>
      </c>
      <c r="G37" s="31">
        <v>13.80212856</v>
      </c>
      <c r="H37" s="31">
        <v>0.0</v>
      </c>
      <c r="I37" s="31">
        <v>0.0</v>
      </c>
      <c r="J37" s="31">
        <v>0.0</v>
      </c>
      <c r="K37" s="31">
        <v>0.0</v>
      </c>
      <c r="L37" s="31">
        <v>24.489539272</v>
      </c>
      <c r="M37" s="31">
        <v>272.241742402</v>
      </c>
      <c r="N37" s="25">
        <f t="shared" si="5"/>
        <v>648.0710157</v>
      </c>
    </row>
    <row r="38" ht="15.75" customHeight="1">
      <c r="A38" s="31" t="s">
        <v>85</v>
      </c>
      <c r="B38" s="31">
        <v>1788.2916870606</v>
      </c>
      <c r="C38" s="31">
        <v>2177.1992574399574</v>
      </c>
      <c r="D38" s="31">
        <v>1907.08537118616</v>
      </c>
      <c r="E38" s="31">
        <v>1515.66438281</v>
      </c>
      <c r="F38" s="31">
        <v>1722.7040566129997</v>
      </c>
      <c r="G38" s="31">
        <v>1225.167995416</v>
      </c>
      <c r="H38" s="31">
        <v>852.0187068984001</v>
      </c>
      <c r="I38" s="31">
        <v>1278.5135650319498</v>
      </c>
      <c r="J38" s="31">
        <v>3372.8310189159</v>
      </c>
      <c r="K38" s="31">
        <v>1201.6122997030202</v>
      </c>
      <c r="L38" s="31">
        <v>1738.235365288094</v>
      </c>
      <c r="M38" s="31">
        <v>1647.6068469559214</v>
      </c>
      <c r="N38" s="25">
        <f t="shared" si="5"/>
        <v>20426.93055</v>
      </c>
    </row>
    <row r="39" ht="15.75" customHeight="1">
      <c r="A39" s="65" t="s">
        <v>86</v>
      </c>
      <c r="B39" s="63">
        <f t="shared" ref="B39:N39" si="6">SUM(B27:B38)</f>
        <v>44503.61269</v>
      </c>
      <c r="C39" s="63">
        <f t="shared" si="6"/>
        <v>49981.82672</v>
      </c>
      <c r="D39" s="63">
        <f t="shared" si="6"/>
        <v>51532.84162</v>
      </c>
      <c r="E39" s="63">
        <f t="shared" si="6"/>
        <v>38094.17652</v>
      </c>
      <c r="F39" s="63">
        <f t="shared" si="6"/>
        <v>38689.15324</v>
      </c>
      <c r="G39" s="63">
        <f t="shared" si="6"/>
        <v>35357.32855</v>
      </c>
      <c r="H39" s="63">
        <f t="shared" si="6"/>
        <v>30696.11426</v>
      </c>
      <c r="I39" s="63">
        <f t="shared" si="6"/>
        <v>31100.89082</v>
      </c>
      <c r="J39" s="63">
        <f t="shared" si="6"/>
        <v>36905.28516</v>
      </c>
      <c r="K39" s="63">
        <f t="shared" si="6"/>
        <v>31262.30655</v>
      </c>
      <c r="L39" s="63">
        <f t="shared" si="6"/>
        <v>33766.7659</v>
      </c>
      <c r="M39" s="63">
        <f t="shared" si="6"/>
        <v>36838.36447</v>
      </c>
      <c r="N39" s="63">
        <f t="shared" si="6"/>
        <v>458728.6665</v>
      </c>
    </row>
    <row r="40" ht="15.75" customHeight="1">
      <c r="A40" s="64" t="s">
        <v>50</v>
      </c>
      <c r="B40" s="63">
        <f t="shared" ref="B40:N40" si="7">+B25-B39</f>
        <v>106754.1647</v>
      </c>
      <c r="C40" s="63">
        <f t="shared" si="7"/>
        <v>87799.69697</v>
      </c>
      <c r="D40" s="63">
        <f t="shared" si="7"/>
        <v>88829.15647</v>
      </c>
      <c r="E40" s="63">
        <f t="shared" si="7"/>
        <v>110525.1785</v>
      </c>
      <c r="F40" s="63">
        <f t="shared" si="7"/>
        <v>82287.03996</v>
      </c>
      <c r="G40" s="63">
        <f t="shared" si="7"/>
        <v>74658.55249</v>
      </c>
      <c r="H40" s="63">
        <f t="shared" si="7"/>
        <v>85852.08308</v>
      </c>
      <c r="I40" s="63">
        <f t="shared" si="7"/>
        <v>87176.38539</v>
      </c>
      <c r="J40" s="63">
        <f t="shared" si="7"/>
        <v>75190.19238</v>
      </c>
      <c r="K40" s="63">
        <f t="shared" si="7"/>
        <v>77630.65868</v>
      </c>
      <c r="L40" s="63">
        <f t="shared" si="7"/>
        <v>69976.74029</v>
      </c>
      <c r="M40" s="63">
        <f t="shared" si="7"/>
        <v>70817.29705</v>
      </c>
      <c r="N40" s="63">
        <f t="shared" si="7"/>
        <v>1017497.146</v>
      </c>
    </row>
    <row r="41" ht="15.75" customHeight="1">
      <c r="A41" s="66" t="s">
        <v>87</v>
      </c>
      <c r="B41" s="67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ht="15.75" customHeight="1">
      <c r="A42" s="44" t="s">
        <v>53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ht="15.75" customHeight="1">
      <c r="A43" s="47" t="s">
        <v>54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ht="15.75" customHeight="1">
      <c r="A44" s="47" t="s">
        <v>55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ht="15.75" customHeight="1">
      <c r="A45" s="47" t="s">
        <v>88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1"/>
    </row>
    <row r="46" ht="15.75" customHeight="1">
      <c r="A46" s="47" t="s">
        <v>57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1"/>
    </row>
    <row r="47" ht="15.75" customHeight="1">
      <c r="A47" s="47" t="s">
        <v>58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51"/>
    </row>
    <row r="48" ht="15.75" customHeight="1">
      <c r="A48" s="47" t="s">
        <v>59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1"/>
    </row>
    <row r="49" ht="15.75" customHeight="1">
      <c r="A49" s="47" t="s">
        <v>89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51"/>
    </row>
    <row r="50" ht="15.75" customHeight="1">
      <c r="A50" s="4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51"/>
    </row>
    <row r="51" ht="15.75" customHeight="1">
      <c r="A51" s="48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N7"/>
    <mergeCell ref="A8:N8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29"/>
    <col customWidth="1" min="2" max="14" width="17.57"/>
    <col customWidth="1" min="15" max="26" width="8.71"/>
  </cols>
  <sheetData>
    <row r="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>
      <c r="A4" s="4"/>
      <c r="B4" s="51"/>
      <c r="C4" s="51"/>
      <c r="D4" s="51"/>
      <c r="E4" s="3" t="s">
        <v>0</v>
      </c>
      <c r="F4" s="51"/>
      <c r="G4" s="51"/>
      <c r="H4" s="51"/>
      <c r="I4" s="51"/>
      <c r="J4" s="51"/>
      <c r="K4" s="51"/>
      <c r="L4" s="51"/>
      <c r="M4" s="51"/>
      <c r="N4" s="51"/>
    </row>
    <row r="5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>
      <c r="A6" s="52" t="s">
        <v>26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>
      <c r="A7" s="54" t="s">
        <v>61</v>
      </c>
    </row>
    <row r="8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</row>
    <row r="9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</row>
    <row r="10">
      <c r="A10" s="18" t="s">
        <v>28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>
      <c r="A11" s="22" t="s">
        <v>75</v>
      </c>
      <c r="B11" s="31">
        <v>63309.49862274987</v>
      </c>
      <c r="C11" s="31">
        <v>60800.38348158721</v>
      </c>
      <c r="D11" s="31">
        <v>61073.298999169296</v>
      </c>
      <c r="E11" s="31">
        <v>59460.95043805776</v>
      </c>
      <c r="F11" s="31">
        <v>67310.65983063364</v>
      </c>
      <c r="G11" s="31">
        <v>69109.87619444002</v>
      </c>
      <c r="H11" s="31">
        <v>72054.19693085934</v>
      </c>
      <c r="I11" s="31">
        <v>79009.388695268</v>
      </c>
      <c r="J11" s="31">
        <v>81771.14177899285</v>
      </c>
      <c r="K11" s="31">
        <v>86692.5153827875</v>
      </c>
      <c r="L11" s="31">
        <v>87441.41636894748</v>
      </c>
      <c r="M11" s="31">
        <v>113228.86524779514</v>
      </c>
      <c r="N11" s="25">
        <f>SUM(B11:M11)</f>
        <v>901262.192</v>
      </c>
    </row>
    <row r="12">
      <c r="A12" s="22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</row>
    <row r="13">
      <c r="A13" s="31" t="s">
        <v>31</v>
      </c>
      <c r="B13" s="31">
        <v>4331.080504553582</v>
      </c>
      <c r="C13" s="31">
        <v>3901.849708535707</v>
      </c>
      <c r="D13" s="31">
        <v>5595.704520158647</v>
      </c>
      <c r="E13" s="31">
        <v>6495.733533154049</v>
      </c>
      <c r="F13" s="31">
        <v>8248.4288123209</v>
      </c>
      <c r="G13" s="31">
        <v>7704.76507362068</v>
      </c>
      <c r="H13" s="31">
        <v>9772.186843978123</v>
      </c>
      <c r="I13" s="31">
        <v>10281.785349314856</v>
      </c>
      <c r="J13" s="31">
        <v>9846.542362302556</v>
      </c>
      <c r="K13" s="31">
        <v>7748.172359162874</v>
      </c>
      <c r="L13" s="31">
        <v>7419.082399776278</v>
      </c>
      <c r="M13" s="31">
        <v>10123.066217309477</v>
      </c>
      <c r="N13" s="25">
        <f t="shared" ref="N13:N23" si="1">SUM(B13:M13)</f>
        <v>91468.39768</v>
      </c>
    </row>
    <row r="14">
      <c r="A14" s="61" t="s">
        <v>32</v>
      </c>
      <c r="B14" s="31">
        <v>349.4550366345606</v>
      </c>
      <c r="C14" s="31">
        <v>0.0</v>
      </c>
      <c r="D14" s="31">
        <v>0.0</v>
      </c>
      <c r="E14" s="31">
        <v>0.1478954</v>
      </c>
      <c r="F14" s="31">
        <v>0.0</v>
      </c>
      <c r="G14" s="31">
        <v>592.97964412445</v>
      </c>
      <c r="H14" s="31">
        <v>2753.5997885095185</v>
      </c>
      <c r="I14" s="31">
        <v>198.40835123955645</v>
      </c>
      <c r="J14" s="31">
        <v>0.1373363</v>
      </c>
      <c r="K14" s="31">
        <v>0.0</v>
      </c>
      <c r="L14" s="31">
        <v>0.0749366</v>
      </c>
      <c r="M14" s="31">
        <v>0.0</v>
      </c>
      <c r="N14" s="25">
        <f t="shared" si="1"/>
        <v>3894.802989</v>
      </c>
    </row>
    <row r="15">
      <c r="A15" s="31" t="s">
        <v>33</v>
      </c>
      <c r="B15" s="31">
        <v>169.3745448352459</v>
      </c>
      <c r="C15" s="31">
        <v>179.870949</v>
      </c>
      <c r="D15" s="31">
        <v>184.2415644170293</v>
      </c>
      <c r="E15" s="31">
        <v>0.0</v>
      </c>
      <c r="F15" s="31">
        <v>0.0</v>
      </c>
      <c r="G15" s="31">
        <v>0.0</v>
      </c>
      <c r="H15" s="31">
        <v>0.0</v>
      </c>
      <c r="I15" s="31">
        <v>121.3917363</v>
      </c>
      <c r="J15" s="31">
        <v>0.0</v>
      </c>
      <c r="K15" s="31">
        <v>0.0</v>
      </c>
      <c r="L15" s="31">
        <v>0.0</v>
      </c>
      <c r="M15" s="31">
        <v>843.9166898999999</v>
      </c>
      <c r="N15" s="25">
        <f t="shared" si="1"/>
        <v>1498.795484</v>
      </c>
    </row>
    <row r="16">
      <c r="A16" s="31" t="s">
        <v>34</v>
      </c>
      <c r="B16" s="31">
        <v>0.0</v>
      </c>
      <c r="C16" s="31">
        <v>0.0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25">
        <f t="shared" si="1"/>
        <v>0</v>
      </c>
    </row>
    <row r="17">
      <c r="A17" s="61" t="s">
        <v>35</v>
      </c>
      <c r="B17" s="31">
        <v>0.0</v>
      </c>
      <c r="C17" s="31">
        <v>0.0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25">
        <f t="shared" si="1"/>
        <v>0</v>
      </c>
    </row>
    <row r="18">
      <c r="A18" s="31" t="s">
        <v>36</v>
      </c>
      <c r="B18" s="31">
        <v>10.8569897</v>
      </c>
      <c r="C18" s="31">
        <v>19.542610300000003</v>
      </c>
      <c r="D18" s="31">
        <v>6.5960564</v>
      </c>
      <c r="E18" s="31">
        <v>4.8623181</v>
      </c>
      <c r="F18" s="31">
        <v>20.7515882</v>
      </c>
      <c r="G18" s="31">
        <v>21.584827699999998</v>
      </c>
      <c r="H18" s="31">
        <v>10.9217086</v>
      </c>
      <c r="I18" s="31">
        <v>35.7928821</v>
      </c>
      <c r="J18" s="31">
        <v>30.897298999999997</v>
      </c>
      <c r="K18" s="31">
        <v>17.4718726</v>
      </c>
      <c r="L18" s="31">
        <v>35.5736349</v>
      </c>
      <c r="M18" s="31">
        <v>38.1342516</v>
      </c>
      <c r="N18" s="25">
        <f t="shared" si="1"/>
        <v>252.9860392</v>
      </c>
    </row>
    <row r="19">
      <c r="A19" s="31" t="s">
        <v>37</v>
      </c>
      <c r="B19" s="31">
        <v>1866.1582330269998</v>
      </c>
      <c r="C19" s="31">
        <v>1665.0693524753249</v>
      </c>
      <c r="D19" s="31">
        <v>1332.6023745</v>
      </c>
      <c r="E19" s="31">
        <v>1368.84348327055</v>
      </c>
      <c r="F19" s="31">
        <v>1584.2582096367328</v>
      </c>
      <c r="G19" s="31">
        <v>1559.201638631417</v>
      </c>
      <c r="H19" s="31">
        <v>2181.2363866461196</v>
      </c>
      <c r="I19" s="31">
        <v>1442.3871379244001</v>
      </c>
      <c r="J19" s="31">
        <v>2130.484804445567</v>
      </c>
      <c r="K19" s="31">
        <v>1053.875039</v>
      </c>
      <c r="L19" s="31">
        <v>1459.0109165000001</v>
      </c>
      <c r="M19" s="31">
        <v>2061.1262651</v>
      </c>
      <c r="N19" s="25">
        <f t="shared" si="1"/>
        <v>19704.25384</v>
      </c>
    </row>
    <row r="20">
      <c r="A20" s="31" t="s">
        <v>38</v>
      </c>
      <c r="B20" s="31">
        <v>2288.4191319281085</v>
      </c>
      <c r="C20" s="31">
        <v>1770.472859400174</v>
      </c>
      <c r="D20" s="31">
        <v>1770.7152182333036</v>
      </c>
      <c r="E20" s="31">
        <v>3191.2333356598238</v>
      </c>
      <c r="F20" s="31">
        <v>2269.8730316273113</v>
      </c>
      <c r="G20" s="31">
        <v>1392.653815630355</v>
      </c>
      <c r="H20" s="31">
        <v>2786.0343695399292</v>
      </c>
      <c r="I20" s="31">
        <v>2071.888144799333</v>
      </c>
      <c r="J20" s="31">
        <v>3041.794156568681</v>
      </c>
      <c r="K20" s="31">
        <v>2976.1114047939245</v>
      </c>
      <c r="L20" s="31">
        <v>3784.255410547338</v>
      </c>
      <c r="M20" s="31">
        <v>5471.331013170344</v>
      </c>
      <c r="N20" s="25">
        <f t="shared" si="1"/>
        <v>32814.78189</v>
      </c>
    </row>
    <row r="21" ht="15.75" customHeight="1">
      <c r="A21" s="31" t="s">
        <v>39</v>
      </c>
      <c r="B21" s="31">
        <v>844.6062986740001</v>
      </c>
      <c r="C21" s="31">
        <v>680.3293508999999</v>
      </c>
      <c r="D21" s="31">
        <v>537.6219371</v>
      </c>
      <c r="E21" s="31">
        <v>406.94049250000006</v>
      </c>
      <c r="F21" s="31">
        <v>303.7964078</v>
      </c>
      <c r="G21" s="31">
        <v>405.4263807</v>
      </c>
      <c r="H21" s="31">
        <v>524.575374</v>
      </c>
      <c r="I21" s="31">
        <v>635.5894596</v>
      </c>
      <c r="J21" s="31">
        <v>838.6688988000001</v>
      </c>
      <c r="K21" s="31">
        <v>738.9137102000001</v>
      </c>
      <c r="L21" s="31">
        <v>744.0255744</v>
      </c>
      <c r="M21" s="31">
        <v>1017.5288219</v>
      </c>
      <c r="N21" s="25">
        <f t="shared" si="1"/>
        <v>7678.022707</v>
      </c>
    </row>
    <row r="22" ht="15.75" customHeight="1">
      <c r="A22" s="31" t="s">
        <v>77</v>
      </c>
      <c r="B22" s="31">
        <v>62.3657357</v>
      </c>
      <c r="C22" s="31">
        <v>347.4716012</v>
      </c>
      <c r="D22" s="31">
        <v>352.1920557</v>
      </c>
      <c r="E22" s="31">
        <v>618.5916156</v>
      </c>
      <c r="F22" s="31">
        <v>299.9730813</v>
      </c>
      <c r="G22" s="31">
        <v>360.67321450000003</v>
      </c>
      <c r="H22" s="31">
        <v>595.8690140000001</v>
      </c>
      <c r="I22" s="31">
        <v>717.3893075000001</v>
      </c>
      <c r="J22" s="31">
        <v>1775.9366044999997</v>
      </c>
      <c r="K22" s="31">
        <v>1478.84619</v>
      </c>
      <c r="L22" s="31">
        <v>866.0148824</v>
      </c>
      <c r="M22" s="31">
        <v>727.9352726999999</v>
      </c>
      <c r="N22" s="25">
        <f t="shared" si="1"/>
        <v>8203.258575</v>
      </c>
    </row>
    <row r="23" ht="15.75" customHeight="1">
      <c r="A23" s="31" t="s">
        <v>78</v>
      </c>
      <c r="B23" s="31">
        <v>975.8300584874012</v>
      </c>
      <c r="C23" s="31">
        <v>681.4074608650255</v>
      </c>
      <c r="D23" s="31">
        <v>826.3761881096</v>
      </c>
      <c r="E23" s="31">
        <v>1313.1363583684201</v>
      </c>
      <c r="F23" s="31">
        <v>945.2745514754054</v>
      </c>
      <c r="G23" s="31">
        <v>1888.013117229702</v>
      </c>
      <c r="H23" s="31">
        <v>792.8935794208495</v>
      </c>
      <c r="I23" s="31">
        <v>591.430799146</v>
      </c>
      <c r="J23" s="31">
        <v>944.9247674612607</v>
      </c>
      <c r="K23" s="31">
        <v>1122.382919153704</v>
      </c>
      <c r="L23" s="31">
        <v>568.2339096431499</v>
      </c>
      <c r="M23" s="31">
        <v>669.5735555025001</v>
      </c>
      <c r="N23" s="25">
        <f t="shared" si="1"/>
        <v>11319.47726</v>
      </c>
    </row>
    <row r="24" ht="15.75" customHeight="1">
      <c r="A24" s="62" t="s">
        <v>79</v>
      </c>
      <c r="B24" s="63">
        <f t="shared" ref="B24:N24" si="2">SUM(B13:B23)</f>
        <v>10898.14653</v>
      </c>
      <c r="C24" s="63">
        <f t="shared" si="2"/>
        <v>9246.013893</v>
      </c>
      <c r="D24" s="63">
        <f t="shared" si="2"/>
        <v>10606.04991</v>
      </c>
      <c r="E24" s="63">
        <f t="shared" si="2"/>
        <v>13399.48903</v>
      </c>
      <c r="F24" s="63">
        <f t="shared" si="2"/>
        <v>13672.35568</v>
      </c>
      <c r="G24" s="63">
        <f t="shared" si="2"/>
        <v>13925.29771</v>
      </c>
      <c r="H24" s="63">
        <f t="shared" si="2"/>
        <v>19417.31706</v>
      </c>
      <c r="I24" s="63">
        <f t="shared" si="2"/>
        <v>16096.06317</v>
      </c>
      <c r="J24" s="63">
        <f t="shared" si="2"/>
        <v>18609.38623</v>
      </c>
      <c r="K24" s="63">
        <f t="shared" si="2"/>
        <v>15135.77349</v>
      </c>
      <c r="L24" s="63">
        <f t="shared" si="2"/>
        <v>14876.27166</v>
      </c>
      <c r="M24" s="63">
        <f t="shared" si="2"/>
        <v>20952.61209</v>
      </c>
      <c r="N24" s="63">
        <f t="shared" si="2"/>
        <v>176834.7765</v>
      </c>
    </row>
    <row r="25" ht="15.75" customHeight="1">
      <c r="A25" s="64" t="s">
        <v>80</v>
      </c>
      <c r="B25" s="63">
        <f t="shared" ref="B25:F25" si="3">+B24+B11</f>
        <v>74207.64516</v>
      </c>
      <c r="C25" s="63">
        <f t="shared" si="3"/>
        <v>70046.39737</v>
      </c>
      <c r="D25" s="63">
        <f t="shared" si="3"/>
        <v>71679.34891</v>
      </c>
      <c r="E25" s="63">
        <f t="shared" si="3"/>
        <v>72860.43947</v>
      </c>
      <c r="F25" s="63">
        <f t="shared" si="3"/>
        <v>80983.01551</v>
      </c>
      <c r="G25" s="63">
        <f t="shared" ref="G25:N25" si="4">+G11+G24</f>
        <v>83035.17391</v>
      </c>
      <c r="H25" s="63">
        <f t="shared" si="4"/>
        <v>91471.514</v>
      </c>
      <c r="I25" s="63">
        <f t="shared" si="4"/>
        <v>95105.45186</v>
      </c>
      <c r="J25" s="63">
        <f t="shared" si="4"/>
        <v>100380.528</v>
      </c>
      <c r="K25" s="63">
        <f t="shared" si="4"/>
        <v>101828.2889</v>
      </c>
      <c r="L25" s="63">
        <f t="shared" si="4"/>
        <v>102317.688</v>
      </c>
      <c r="M25" s="63">
        <f t="shared" si="4"/>
        <v>134181.4773</v>
      </c>
      <c r="N25" s="63">
        <f t="shared" si="4"/>
        <v>1078096.968</v>
      </c>
    </row>
    <row r="26" ht="15.75" customHeight="1">
      <c r="A26" s="18" t="s">
        <v>43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25"/>
    </row>
    <row r="27" ht="15.75" customHeight="1">
      <c r="A27" s="31" t="s">
        <v>31</v>
      </c>
      <c r="B27" s="31">
        <v>232.1362244</v>
      </c>
      <c r="C27" s="31">
        <v>247.8726825</v>
      </c>
      <c r="D27" s="31">
        <v>174.2045129</v>
      </c>
      <c r="E27" s="31">
        <v>164.3105234</v>
      </c>
      <c r="F27" s="31">
        <v>242.7560621</v>
      </c>
      <c r="G27" s="31">
        <v>263.9085029</v>
      </c>
      <c r="H27" s="31">
        <v>265.2113485</v>
      </c>
      <c r="I27" s="31">
        <v>326.8747872</v>
      </c>
      <c r="J27" s="31">
        <v>377.7933455</v>
      </c>
      <c r="K27" s="31">
        <v>349.2428938</v>
      </c>
      <c r="L27" s="31">
        <v>302.8977773</v>
      </c>
      <c r="M27" s="31">
        <v>266.3737781</v>
      </c>
      <c r="N27" s="25">
        <f t="shared" ref="N27:N38" si="5">SUM(B27:M27)</f>
        <v>3213.582439</v>
      </c>
    </row>
    <row r="28" ht="15.75" customHeight="1">
      <c r="A28" s="61" t="s">
        <v>81</v>
      </c>
      <c r="B28" s="31">
        <v>4405.4636600250005</v>
      </c>
      <c r="C28" s="31">
        <v>6512.212404155057</v>
      </c>
      <c r="D28" s="31">
        <v>5894.791507827048</v>
      </c>
      <c r="E28" s="31">
        <v>5486.903095747707</v>
      </c>
      <c r="F28" s="31">
        <v>4714.780959106</v>
      </c>
      <c r="G28" s="31">
        <v>4648.250825532367</v>
      </c>
      <c r="H28" s="31">
        <v>6265.885551987397</v>
      </c>
      <c r="I28" s="31">
        <v>6181.9330105635</v>
      </c>
      <c r="J28" s="31">
        <v>7997.376394106766</v>
      </c>
      <c r="K28" s="31">
        <v>7040.819287014001</v>
      </c>
      <c r="L28" s="31">
        <v>8675.349936019971</v>
      </c>
      <c r="M28" s="31">
        <v>13824.84104634585</v>
      </c>
      <c r="N28" s="25">
        <f t="shared" si="5"/>
        <v>81648.60768</v>
      </c>
    </row>
    <row r="29" ht="15.75" customHeight="1">
      <c r="A29" s="31" t="s">
        <v>82</v>
      </c>
      <c r="B29" s="31">
        <v>1936.3570467834807</v>
      </c>
      <c r="C29" s="31">
        <v>2184.37572354475</v>
      </c>
      <c r="D29" s="31">
        <v>2867.2175609456</v>
      </c>
      <c r="E29" s="31">
        <v>2410.0106215043625</v>
      </c>
      <c r="F29" s="31">
        <v>3074.6301026091796</v>
      </c>
      <c r="G29" s="31">
        <v>3259.260849449187</v>
      </c>
      <c r="H29" s="31">
        <v>3027.843072690383</v>
      </c>
      <c r="I29" s="31">
        <v>3413.5411311686003</v>
      </c>
      <c r="J29" s="31">
        <v>3457.3273850072305</v>
      </c>
      <c r="K29" s="31">
        <v>2885.88801469048</v>
      </c>
      <c r="L29" s="31">
        <v>2792.9086558152</v>
      </c>
      <c r="M29" s="31">
        <v>5921.959712791999</v>
      </c>
      <c r="N29" s="25">
        <f t="shared" si="5"/>
        <v>37231.31988</v>
      </c>
    </row>
    <row r="30" ht="15.75" customHeight="1">
      <c r="A30" s="31" t="s">
        <v>83</v>
      </c>
      <c r="B30" s="31">
        <v>1054.046287482</v>
      </c>
      <c r="C30" s="31">
        <v>1700.809281238</v>
      </c>
      <c r="D30" s="31">
        <v>2085.926018599682</v>
      </c>
      <c r="E30" s="31">
        <v>1521.1799402474192</v>
      </c>
      <c r="F30" s="31">
        <v>1389.7582930160002</v>
      </c>
      <c r="G30" s="31">
        <v>1281.2574352668096</v>
      </c>
      <c r="H30" s="31">
        <v>2439.0396655186005</v>
      </c>
      <c r="I30" s="31">
        <v>2905.1334746368</v>
      </c>
      <c r="J30" s="31">
        <v>2768.224577091416</v>
      </c>
      <c r="K30" s="31">
        <v>2525.3479927</v>
      </c>
      <c r="L30" s="31">
        <v>2627.921983832</v>
      </c>
      <c r="M30" s="31">
        <v>4813.082506648777</v>
      </c>
      <c r="N30" s="25">
        <f t="shared" si="5"/>
        <v>27111.72746</v>
      </c>
    </row>
    <row r="31" ht="15.75" customHeight="1">
      <c r="A31" s="61" t="s">
        <v>35</v>
      </c>
      <c r="B31" s="31">
        <v>6.0118874</v>
      </c>
      <c r="C31" s="31">
        <v>5.899197</v>
      </c>
      <c r="D31" s="31">
        <v>8.8274251</v>
      </c>
      <c r="E31" s="31">
        <v>5.6966829</v>
      </c>
      <c r="F31" s="31">
        <v>3.2972661</v>
      </c>
      <c r="G31" s="31">
        <v>5.337546</v>
      </c>
      <c r="H31" s="31">
        <v>5.4742504</v>
      </c>
      <c r="I31" s="31">
        <v>8.0263914</v>
      </c>
      <c r="J31" s="31">
        <v>7.4064675</v>
      </c>
      <c r="K31" s="31">
        <v>6.8083256</v>
      </c>
      <c r="L31" s="31">
        <v>6.6603482</v>
      </c>
      <c r="M31" s="31">
        <v>7.4723943</v>
      </c>
      <c r="N31" s="25">
        <f t="shared" si="5"/>
        <v>76.9181819</v>
      </c>
    </row>
    <row r="32" ht="15.75" customHeight="1">
      <c r="A32" s="31" t="s">
        <v>36</v>
      </c>
      <c r="B32" s="31">
        <v>7212.999099310061</v>
      </c>
      <c r="C32" s="31">
        <v>11833.966427543517</v>
      </c>
      <c r="D32" s="31">
        <v>12122.688467489328</v>
      </c>
      <c r="E32" s="31">
        <v>10066.060952620057</v>
      </c>
      <c r="F32" s="31">
        <v>11127.397368607577</v>
      </c>
      <c r="G32" s="31">
        <v>12496.824887223802</v>
      </c>
      <c r="H32" s="31">
        <v>15298.121776823842</v>
      </c>
      <c r="I32" s="31">
        <v>14150.786669754598</v>
      </c>
      <c r="J32" s="31">
        <v>14804.945308560058</v>
      </c>
      <c r="K32" s="31">
        <v>14187.666975430386</v>
      </c>
      <c r="L32" s="31">
        <v>14940.455816372309</v>
      </c>
      <c r="M32" s="31">
        <v>26499.334133651955</v>
      </c>
      <c r="N32" s="25">
        <f t="shared" si="5"/>
        <v>164741.2479</v>
      </c>
    </row>
    <row r="33" ht="15.75" customHeight="1">
      <c r="A33" s="31" t="s">
        <v>46</v>
      </c>
      <c r="B33" s="31">
        <v>0.0</v>
      </c>
      <c r="C33" s="31">
        <v>0.0</v>
      </c>
      <c r="D33" s="31">
        <v>0.0</v>
      </c>
      <c r="E33" s="31">
        <v>0.0</v>
      </c>
      <c r="F33" s="31">
        <v>0.0</v>
      </c>
      <c r="G33" s="31">
        <v>0.0</v>
      </c>
      <c r="H33" s="31">
        <v>0.0</v>
      </c>
      <c r="I33" s="31">
        <v>0.0</v>
      </c>
      <c r="J33" s="31">
        <v>0.111848</v>
      </c>
      <c r="K33" s="31">
        <v>0.109641</v>
      </c>
      <c r="L33" s="31">
        <v>0.0</v>
      </c>
      <c r="M33" s="31">
        <v>0.0</v>
      </c>
      <c r="N33" s="25">
        <f t="shared" si="5"/>
        <v>0.221489</v>
      </c>
    </row>
    <row r="34" ht="15.75" customHeight="1">
      <c r="A34" s="31" t="s">
        <v>47</v>
      </c>
      <c r="B34" s="31">
        <v>3.33</v>
      </c>
      <c r="C34" s="31">
        <v>0.79</v>
      </c>
      <c r="D34" s="31">
        <v>6.01</v>
      </c>
      <c r="E34" s="31">
        <v>3.1100000000000003</v>
      </c>
      <c r="F34" s="31">
        <v>7.83</v>
      </c>
      <c r="G34" s="31">
        <v>5.5</v>
      </c>
      <c r="H34" s="31">
        <v>4.8500000000000005</v>
      </c>
      <c r="I34" s="31">
        <v>5.6899999999999995</v>
      </c>
      <c r="J34" s="31">
        <v>16.72</v>
      </c>
      <c r="K34" s="31">
        <v>6.04</v>
      </c>
      <c r="L34" s="31">
        <v>34.94</v>
      </c>
      <c r="M34" s="31">
        <v>19.64311998</v>
      </c>
      <c r="N34" s="25">
        <f t="shared" si="5"/>
        <v>114.45312</v>
      </c>
    </row>
    <row r="35" ht="15.75" customHeight="1">
      <c r="A35" s="31" t="s">
        <v>38</v>
      </c>
      <c r="B35" s="31">
        <v>287.78608955799996</v>
      </c>
      <c r="C35" s="31">
        <v>774.174632162</v>
      </c>
      <c r="D35" s="31">
        <v>654.5860061</v>
      </c>
      <c r="E35" s="31">
        <v>1063.5743677</v>
      </c>
      <c r="F35" s="31">
        <v>574.9572014</v>
      </c>
      <c r="G35" s="31">
        <v>503.14039436967505</v>
      </c>
      <c r="H35" s="31">
        <v>450.89345987251664</v>
      </c>
      <c r="I35" s="31">
        <v>265.3201312</v>
      </c>
      <c r="J35" s="31">
        <v>480.72942020000005</v>
      </c>
      <c r="K35" s="31">
        <v>617.620044</v>
      </c>
      <c r="L35" s="31">
        <v>400.7434773</v>
      </c>
      <c r="M35" s="31">
        <v>559.5544966</v>
      </c>
      <c r="N35" s="25">
        <f t="shared" si="5"/>
        <v>6633.07972</v>
      </c>
    </row>
    <row r="36" ht="15.75" customHeight="1">
      <c r="A36" s="31" t="s">
        <v>39</v>
      </c>
      <c r="B36" s="31">
        <v>0.7120126</v>
      </c>
      <c r="C36" s="31">
        <v>0.0</v>
      </c>
      <c r="D36" s="31">
        <v>0.0</v>
      </c>
      <c r="E36" s="31">
        <v>0.0</v>
      </c>
      <c r="F36" s="31">
        <v>0.0</v>
      </c>
      <c r="G36" s="31">
        <v>8.6388581</v>
      </c>
      <c r="H36" s="31">
        <v>18.512186200000002</v>
      </c>
      <c r="I36" s="31">
        <v>0.0</v>
      </c>
      <c r="J36" s="31">
        <v>0.0</v>
      </c>
      <c r="K36" s="31">
        <v>0.0</v>
      </c>
      <c r="L36" s="31">
        <v>0.0</v>
      </c>
      <c r="M36" s="31">
        <v>0.0</v>
      </c>
      <c r="N36" s="25">
        <f t="shared" si="5"/>
        <v>27.8630569</v>
      </c>
    </row>
    <row r="37" ht="15.75" customHeight="1">
      <c r="A37" s="31" t="s">
        <v>84</v>
      </c>
      <c r="B37" s="31">
        <v>2.5674964</v>
      </c>
      <c r="C37" s="31">
        <v>0.40168055</v>
      </c>
      <c r="D37" s="31">
        <v>0.7957958799999999</v>
      </c>
      <c r="E37" s="31">
        <v>0.6344876730000001</v>
      </c>
      <c r="F37" s="31">
        <v>148.598040768</v>
      </c>
      <c r="G37" s="31">
        <v>158.32308773699998</v>
      </c>
      <c r="H37" s="31">
        <v>190.772510812</v>
      </c>
      <c r="I37" s="31">
        <v>0.0</v>
      </c>
      <c r="J37" s="31">
        <v>0.410383554</v>
      </c>
      <c r="K37" s="31">
        <v>0.0</v>
      </c>
      <c r="L37" s="31">
        <v>33.3</v>
      </c>
      <c r="M37" s="31">
        <v>17.51261485</v>
      </c>
      <c r="N37" s="25">
        <f t="shared" si="5"/>
        <v>553.3160982</v>
      </c>
    </row>
    <row r="38" ht="15.75" customHeight="1">
      <c r="A38" s="31" t="s">
        <v>85</v>
      </c>
      <c r="B38" s="31">
        <v>1006.2859617869999</v>
      </c>
      <c r="C38" s="31">
        <v>1112.8164521980998</v>
      </c>
      <c r="D38" s="31">
        <v>971.1531487938657</v>
      </c>
      <c r="E38" s="31">
        <v>1088.25382676329</v>
      </c>
      <c r="F38" s="31">
        <v>405.77332243820285</v>
      </c>
      <c r="G38" s="31">
        <v>567.8815979316694</v>
      </c>
      <c r="H38" s="31">
        <v>832.524306988949</v>
      </c>
      <c r="I38" s="31">
        <v>588.7074272509999</v>
      </c>
      <c r="J38" s="31">
        <v>743.1361960839</v>
      </c>
      <c r="K38" s="31">
        <v>1062.0379159210001</v>
      </c>
      <c r="L38" s="31">
        <v>851.2908468201224</v>
      </c>
      <c r="M38" s="31">
        <v>1218.8039141556874</v>
      </c>
      <c r="N38" s="25">
        <f t="shared" si="5"/>
        <v>10448.66492</v>
      </c>
    </row>
    <row r="39" ht="15.75" customHeight="1">
      <c r="A39" s="65" t="s">
        <v>86</v>
      </c>
      <c r="B39" s="63">
        <f t="shared" ref="B39:N39" si="6">SUM(B27:B38)</f>
        <v>16147.69577</v>
      </c>
      <c r="C39" s="63">
        <f t="shared" si="6"/>
        <v>24373.31848</v>
      </c>
      <c r="D39" s="63">
        <f t="shared" si="6"/>
        <v>24786.20044</v>
      </c>
      <c r="E39" s="63">
        <f t="shared" si="6"/>
        <v>21809.7345</v>
      </c>
      <c r="F39" s="63">
        <f t="shared" si="6"/>
        <v>21689.77862</v>
      </c>
      <c r="G39" s="63">
        <f t="shared" si="6"/>
        <v>23198.32398</v>
      </c>
      <c r="H39" s="63">
        <f t="shared" si="6"/>
        <v>28799.12813</v>
      </c>
      <c r="I39" s="63">
        <f t="shared" si="6"/>
        <v>27846.01302</v>
      </c>
      <c r="J39" s="63">
        <f t="shared" si="6"/>
        <v>30654.18133</v>
      </c>
      <c r="K39" s="63">
        <f t="shared" si="6"/>
        <v>28681.58109</v>
      </c>
      <c r="L39" s="63">
        <f t="shared" si="6"/>
        <v>30666.46884</v>
      </c>
      <c r="M39" s="63">
        <f t="shared" si="6"/>
        <v>53148.57772</v>
      </c>
      <c r="N39" s="63">
        <f t="shared" si="6"/>
        <v>331801.0019</v>
      </c>
    </row>
    <row r="40" ht="15.75" customHeight="1">
      <c r="A40" s="64" t="s">
        <v>50</v>
      </c>
      <c r="B40" s="63">
        <f t="shared" ref="B40:N40" si="7">+B25-B39</f>
        <v>58059.94939</v>
      </c>
      <c r="C40" s="63">
        <f t="shared" si="7"/>
        <v>45673.07889</v>
      </c>
      <c r="D40" s="63">
        <f t="shared" si="7"/>
        <v>46893.14847</v>
      </c>
      <c r="E40" s="63">
        <f t="shared" si="7"/>
        <v>51050.70497</v>
      </c>
      <c r="F40" s="63">
        <f t="shared" si="7"/>
        <v>59293.2369</v>
      </c>
      <c r="G40" s="63">
        <f t="shared" si="7"/>
        <v>59836.84992</v>
      </c>
      <c r="H40" s="63">
        <f t="shared" si="7"/>
        <v>62672.38587</v>
      </c>
      <c r="I40" s="63">
        <f t="shared" si="7"/>
        <v>67259.43884</v>
      </c>
      <c r="J40" s="63">
        <f t="shared" si="7"/>
        <v>69726.34668</v>
      </c>
      <c r="K40" s="63">
        <f t="shared" si="7"/>
        <v>73146.70779</v>
      </c>
      <c r="L40" s="63">
        <f t="shared" si="7"/>
        <v>71651.21919</v>
      </c>
      <c r="M40" s="63">
        <f t="shared" si="7"/>
        <v>81032.89962</v>
      </c>
      <c r="N40" s="63">
        <f t="shared" si="7"/>
        <v>746295.9665</v>
      </c>
    </row>
    <row r="41" ht="15.75" customHeight="1">
      <c r="A41" s="66" t="s">
        <v>87</v>
      </c>
      <c r="B41" s="67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ht="15.75" customHeight="1">
      <c r="A42" s="44" t="s">
        <v>53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ht="15.75" customHeight="1">
      <c r="A43" s="47" t="s">
        <v>54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ht="15.75" customHeight="1">
      <c r="A44" s="47" t="s">
        <v>55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ht="15.75" customHeight="1">
      <c r="A45" s="47" t="s">
        <v>88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1"/>
    </row>
    <row r="46" ht="15.75" customHeight="1">
      <c r="A46" s="47" t="s">
        <v>57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1"/>
    </row>
    <row r="47" ht="15.75" customHeight="1">
      <c r="A47" s="47" t="s">
        <v>58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51"/>
    </row>
    <row r="48" ht="15.75" customHeight="1">
      <c r="A48" s="47" t="s">
        <v>59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1"/>
    </row>
    <row r="49" ht="15.75" customHeight="1">
      <c r="A49" s="47" t="s">
        <v>89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51"/>
    </row>
    <row r="50" ht="15.75" customHeight="1">
      <c r="A50" s="4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51"/>
    </row>
    <row r="51" ht="15.75" customHeight="1">
      <c r="A51" s="48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N7"/>
    <mergeCell ref="A8:N8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29"/>
    <col customWidth="1" min="2" max="14" width="17.57"/>
    <col customWidth="1" min="15" max="26" width="8.71"/>
  </cols>
  <sheetData>
    <row r="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>
      <c r="A4" s="4"/>
      <c r="B4" s="51"/>
      <c r="C4" s="51"/>
      <c r="D4" s="51"/>
      <c r="E4" s="3" t="s">
        <v>0</v>
      </c>
      <c r="F4" s="51"/>
      <c r="G4" s="51"/>
      <c r="H4" s="51"/>
      <c r="I4" s="51"/>
      <c r="J4" s="51"/>
      <c r="K4" s="51"/>
      <c r="L4" s="51"/>
      <c r="M4" s="51"/>
      <c r="N4" s="51"/>
    </row>
    <row r="5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>
      <c r="A6" s="52" t="s">
        <v>25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>
      <c r="A7" s="54" t="s">
        <v>61</v>
      </c>
    </row>
    <row r="8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</row>
    <row r="9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</row>
    <row r="10">
      <c r="A10" s="18" t="s">
        <v>28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>
      <c r="A11" s="22" t="s">
        <v>75</v>
      </c>
      <c r="B11" s="31">
        <v>23097.82128634103</v>
      </c>
      <c r="C11" s="31">
        <v>17134.221652653792</v>
      </c>
      <c r="D11" s="31">
        <v>24391.22860384245</v>
      </c>
      <c r="E11" s="31">
        <v>28431.99353711386</v>
      </c>
      <c r="F11" s="31">
        <v>40659.06849864601</v>
      </c>
      <c r="G11" s="31">
        <v>34353.850793896505</v>
      </c>
      <c r="H11" s="31">
        <v>33074.49167439095</v>
      </c>
      <c r="I11" s="31">
        <v>40926.853933740225</v>
      </c>
      <c r="J11" s="31">
        <v>52165.863453700425</v>
      </c>
      <c r="K11" s="31">
        <v>55990.92460245936</v>
      </c>
      <c r="L11" s="31">
        <v>48033.5588921318</v>
      </c>
      <c r="M11" s="31">
        <v>61518.69228410724</v>
      </c>
      <c r="N11" s="25">
        <f>SUM(B11:M11)</f>
        <v>459778.5692</v>
      </c>
    </row>
    <row r="12">
      <c r="A12" s="22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</row>
    <row r="13">
      <c r="A13" s="31" t="s">
        <v>31</v>
      </c>
      <c r="B13" s="31">
        <v>3028.6633525381358</v>
      </c>
      <c r="C13" s="31">
        <v>4080.382347547283</v>
      </c>
      <c r="D13" s="31">
        <v>3267.746646853416</v>
      </c>
      <c r="E13" s="31">
        <v>2565.33854944702</v>
      </c>
      <c r="F13" s="31">
        <v>3400.678271558294</v>
      </c>
      <c r="G13" s="31">
        <v>4559.296100658465</v>
      </c>
      <c r="H13" s="31">
        <v>4185.403510247692</v>
      </c>
      <c r="I13" s="31">
        <v>4774.568147717668</v>
      </c>
      <c r="J13" s="31">
        <v>5254.25697030769</v>
      </c>
      <c r="K13" s="31">
        <v>5572.305055754067</v>
      </c>
      <c r="L13" s="31">
        <v>6807.572575191677</v>
      </c>
      <c r="M13" s="31">
        <v>6256.247024476412</v>
      </c>
      <c r="N13" s="25">
        <f t="shared" ref="N13:N23" si="1">SUM(B13:M13)</f>
        <v>53752.45855</v>
      </c>
    </row>
    <row r="14">
      <c r="A14" s="61" t="s">
        <v>32</v>
      </c>
      <c r="B14" s="31">
        <v>0.4033338</v>
      </c>
      <c r="C14" s="31">
        <v>0.0</v>
      </c>
      <c r="D14" s="31">
        <v>101.93460759999999</v>
      </c>
      <c r="E14" s="31">
        <v>115.6366644653536</v>
      </c>
      <c r="F14" s="31">
        <v>109.04839910000001</v>
      </c>
      <c r="G14" s="31">
        <v>230.528673665278</v>
      </c>
      <c r="H14" s="31">
        <v>399.5626555105933</v>
      </c>
      <c r="I14" s="31">
        <v>473.67174739591036</v>
      </c>
      <c r="J14" s="31">
        <v>2016.7760473986834</v>
      </c>
      <c r="K14" s="31">
        <v>513.697026153834</v>
      </c>
      <c r="L14" s="31">
        <v>357.413542793392</v>
      </c>
      <c r="M14" s="31">
        <v>630.9525388439483</v>
      </c>
      <c r="N14" s="25">
        <f t="shared" si="1"/>
        <v>4949.625237</v>
      </c>
    </row>
    <row r="15">
      <c r="A15" s="31" t="s">
        <v>33</v>
      </c>
      <c r="B15" s="31">
        <v>63.38574395344</v>
      </c>
      <c r="C15" s="31">
        <v>86.6099886472</v>
      </c>
      <c r="D15" s="31">
        <v>464.45646922784</v>
      </c>
      <c r="E15" s="31">
        <v>488.29294905733</v>
      </c>
      <c r="F15" s="31">
        <v>422.69160846475</v>
      </c>
      <c r="G15" s="31">
        <v>287.535476</v>
      </c>
      <c r="H15" s="31">
        <v>472.8076556</v>
      </c>
      <c r="I15" s="31">
        <v>540.0515544</v>
      </c>
      <c r="J15" s="31">
        <v>272.7170998</v>
      </c>
      <c r="K15" s="31">
        <v>170.25713480000002</v>
      </c>
      <c r="L15" s="31">
        <v>425.8315119</v>
      </c>
      <c r="M15" s="31">
        <v>149.4064343</v>
      </c>
      <c r="N15" s="25">
        <f t="shared" si="1"/>
        <v>3844.043626</v>
      </c>
    </row>
    <row r="16">
      <c r="A16" s="31" t="s">
        <v>34</v>
      </c>
      <c r="B16" s="31">
        <v>0.0025391</v>
      </c>
      <c r="C16" s="31">
        <v>0.0010004</v>
      </c>
      <c r="D16" s="31">
        <v>0.0</v>
      </c>
      <c r="E16" s="31">
        <v>0.0027309</v>
      </c>
      <c r="F16" s="31">
        <v>0.0</v>
      </c>
      <c r="G16" s="31">
        <v>0.0</v>
      </c>
      <c r="H16" s="31">
        <v>3.558E-4</v>
      </c>
      <c r="I16" s="31">
        <v>0.0</v>
      </c>
      <c r="J16" s="31">
        <v>0.0</v>
      </c>
      <c r="K16" s="31">
        <v>0.0</v>
      </c>
      <c r="L16" s="31">
        <v>0.0020701</v>
      </c>
      <c r="M16" s="31">
        <v>0.0</v>
      </c>
      <c r="N16" s="25">
        <f t="shared" si="1"/>
        <v>0.0086963</v>
      </c>
    </row>
    <row r="17">
      <c r="A17" s="61" t="s">
        <v>35</v>
      </c>
      <c r="B17" s="31">
        <v>0.0</v>
      </c>
      <c r="C17" s="31">
        <v>0.0</v>
      </c>
      <c r="D17" s="31">
        <v>0.0026053</v>
      </c>
      <c r="E17" s="31">
        <v>9.375249</v>
      </c>
      <c r="F17" s="31">
        <v>0.0</v>
      </c>
      <c r="G17" s="31">
        <v>0.6224536</v>
      </c>
      <c r="H17" s="31">
        <v>2.0913014999999997</v>
      </c>
      <c r="I17" s="31">
        <v>0.0183525</v>
      </c>
      <c r="J17" s="31">
        <v>0.0256935</v>
      </c>
      <c r="K17" s="31">
        <v>0.0</v>
      </c>
      <c r="L17" s="31">
        <v>0.0</v>
      </c>
      <c r="M17" s="31">
        <v>0.0018431</v>
      </c>
      <c r="N17" s="25">
        <f t="shared" si="1"/>
        <v>12.1374985</v>
      </c>
    </row>
    <row r="18">
      <c r="A18" s="31" t="s">
        <v>36</v>
      </c>
      <c r="B18" s="31">
        <v>83.84489366709133</v>
      </c>
      <c r="C18" s="31">
        <v>74.72322906323276</v>
      </c>
      <c r="D18" s="31">
        <v>199.16736699999998</v>
      </c>
      <c r="E18" s="31">
        <v>394.9717086</v>
      </c>
      <c r="F18" s="31">
        <v>11.737663100000002</v>
      </c>
      <c r="G18" s="31">
        <v>7.5919417</v>
      </c>
      <c r="H18" s="31">
        <v>35.406694200000004</v>
      </c>
      <c r="I18" s="31">
        <v>9.2796564</v>
      </c>
      <c r="J18" s="31">
        <v>797.0263859438626</v>
      </c>
      <c r="K18" s="31">
        <v>242.4326350439409</v>
      </c>
      <c r="L18" s="31">
        <v>67.2374939</v>
      </c>
      <c r="M18" s="31">
        <v>36.623313100000004</v>
      </c>
      <c r="N18" s="25">
        <f t="shared" si="1"/>
        <v>1960.042982</v>
      </c>
    </row>
    <row r="19">
      <c r="A19" s="31" t="s">
        <v>37</v>
      </c>
      <c r="B19" s="31">
        <v>735.3166190000004</v>
      </c>
      <c r="C19" s="31">
        <v>407.72031679999986</v>
      </c>
      <c r="D19" s="31">
        <v>443.6546620999998</v>
      </c>
      <c r="E19" s="31">
        <v>747.2174759584699</v>
      </c>
      <c r="F19" s="31">
        <v>886.3972601243945</v>
      </c>
      <c r="G19" s="31">
        <v>922.9986974999998</v>
      </c>
      <c r="H19" s="31">
        <v>1127.878103319471</v>
      </c>
      <c r="I19" s="31">
        <v>1370.4986952698562</v>
      </c>
      <c r="J19" s="31">
        <v>1344.134791641525</v>
      </c>
      <c r="K19" s="31">
        <v>1452.609064647561</v>
      </c>
      <c r="L19" s="31">
        <v>1385.095677962381</v>
      </c>
      <c r="M19" s="31">
        <v>1346.7315984108504</v>
      </c>
      <c r="N19" s="25">
        <f t="shared" si="1"/>
        <v>12170.25296</v>
      </c>
    </row>
    <row r="20">
      <c r="A20" s="31" t="s">
        <v>38</v>
      </c>
      <c r="B20" s="31">
        <v>555.1084811989077</v>
      </c>
      <c r="C20" s="31">
        <v>639.86338558529</v>
      </c>
      <c r="D20" s="31">
        <v>964.776561560023</v>
      </c>
      <c r="E20" s="31">
        <v>2459.707613089351</v>
      </c>
      <c r="F20" s="31">
        <v>1005.471106441974</v>
      </c>
      <c r="G20" s="31">
        <v>493.7421307869213</v>
      </c>
      <c r="H20" s="31">
        <v>328.048935753482</v>
      </c>
      <c r="I20" s="31">
        <v>495.9697027339651</v>
      </c>
      <c r="J20" s="31">
        <v>1138.160132364475</v>
      </c>
      <c r="K20" s="31">
        <v>949.7354185474741</v>
      </c>
      <c r="L20" s="31">
        <v>2109.5523972849037</v>
      </c>
      <c r="M20" s="31">
        <v>3171.5482803821787</v>
      </c>
      <c r="N20" s="25">
        <f t="shared" si="1"/>
        <v>14311.68415</v>
      </c>
    </row>
    <row r="21" ht="15.75" customHeight="1">
      <c r="A21" s="31" t="s">
        <v>39</v>
      </c>
      <c r="B21" s="31">
        <v>191.8744181</v>
      </c>
      <c r="C21" s="31">
        <v>180.86787529999998</v>
      </c>
      <c r="D21" s="31">
        <v>274.9576401</v>
      </c>
      <c r="E21" s="31">
        <v>290.28508020000004</v>
      </c>
      <c r="F21" s="31">
        <v>154.8337665</v>
      </c>
      <c r="G21" s="31">
        <v>195.8835041</v>
      </c>
      <c r="H21" s="31">
        <v>196.86051840000002</v>
      </c>
      <c r="I21" s="31">
        <v>293.7064176</v>
      </c>
      <c r="J21" s="31">
        <v>464.9900679</v>
      </c>
      <c r="K21" s="31">
        <v>670.9122065000001</v>
      </c>
      <c r="L21" s="31">
        <v>697.81682327188</v>
      </c>
      <c r="M21" s="31">
        <v>712.2257095766101</v>
      </c>
      <c r="N21" s="25">
        <f t="shared" si="1"/>
        <v>4325.214028</v>
      </c>
    </row>
    <row r="22" ht="15.75" customHeight="1">
      <c r="A22" s="31" t="s">
        <v>77</v>
      </c>
      <c r="B22" s="31">
        <v>386.73427810000004</v>
      </c>
      <c r="C22" s="31">
        <v>1138.4077264</v>
      </c>
      <c r="D22" s="31">
        <v>501.11749720000006</v>
      </c>
      <c r="E22" s="31">
        <v>630.6938689</v>
      </c>
      <c r="F22" s="31">
        <v>592.5778104</v>
      </c>
      <c r="G22" s="31">
        <v>482.70316490000005</v>
      </c>
      <c r="H22" s="31">
        <v>519.7697786</v>
      </c>
      <c r="I22" s="31">
        <v>495.5756451</v>
      </c>
      <c r="J22" s="31">
        <v>500.87192909999993</v>
      </c>
      <c r="K22" s="31">
        <v>307.32140499999997</v>
      </c>
      <c r="L22" s="31">
        <v>150.2582668</v>
      </c>
      <c r="M22" s="31">
        <v>703.6212987</v>
      </c>
      <c r="N22" s="25">
        <f t="shared" si="1"/>
        <v>6409.652669</v>
      </c>
    </row>
    <row r="23" ht="15.75" customHeight="1">
      <c r="A23" s="31" t="s">
        <v>78</v>
      </c>
      <c r="B23" s="31">
        <v>628.77301123375</v>
      </c>
      <c r="C23" s="31">
        <v>478.89013616</v>
      </c>
      <c r="D23" s="31">
        <v>762.2435894117086</v>
      </c>
      <c r="E23" s="31">
        <v>872.5749012511261</v>
      </c>
      <c r="F23" s="31">
        <v>476.2824657363168</v>
      </c>
      <c r="G23" s="31">
        <v>369.22605322490006</v>
      </c>
      <c r="H23" s="31">
        <v>523.0039155636159</v>
      </c>
      <c r="I23" s="31">
        <v>388.158773977088</v>
      </c>
      <c r="J23" s="31">
        <v>494.1323029701984</v>
      </c>
      <c r="K23" s="31">
        <v>825.2841059684</v>
      </c>
      <c r="L23" s="31">
        <v>931.2518110528235</v>
      </c>
      <c r="M23" s="31">
        <v>944.723805760327</v>
      </c>
      <c r="N23" s="25">
        <f t="shared" si="1"/>
        <v>7694.544872</v>
      </c>
    </row>
    <row r="24" ht="15.75" customHeight="1">
      <c r="A24" s="62" t="s">
        <v>79</v>
      </c>
      <c r="B24" s="63">
        <f t="shared" ref="B24:N24" si="2">SUM(B13:B23)</f>
        <v>5674.106671</v>
      </c>
      <c r="C24" s="63">
        <f t="shared" si="2"/>
        <v>7087.466006</v>
      </c>
      <c r="D24" s="63">
        <f t="shared" si="2"/>
        <v>6980.057646</v>
      </c>
      <c r="E24" s="63">
        <f t="shared" si="2"/>
        <v>8574.096791</v>
      </c>
      <c r="F24" s="63">
        <f t="shared" si="2"/>
        <v>7059.718351</v>
      </c>
      <c r="G24" s="63">
        <f t="shared" si="2"/>
        <v>7550.128196</v>
      </c>
      <c r="H24" s="63">
        <f t="shared" si="2"/>
        <v>7790.833424</v>
      </c>
      <c r="I24" s="63">
        <f t="shared" si="2"/>
        <v>8841.498693</v>
      </c>
      <c r="J24" s="63">
        <f t="shared" si="2"/>
        <v>12283.09142</v>
      </c>
      <c r="K24" s="63">
        <f t="shared" si="2"/>
        <v>10704.55405</v>
      </c>
      <c r="L24" s="63">
        <f t="shared" si="2"/>
        <v>12932.03217</v>
      </c>
      <c r="M24" s="63">
        <f t="shared" si="2"/>
        <v>13952.08185</v>
      </c>
      <c r="N24" s="63">
        <f t="shared" si="2"/>
        <v>109429.6653</v>
      </c>
    </row>
    <row r="25" ht="15.75" customHeight="1">
      <c r="A25" s="64" t="s">
        <v>80</v>
      </c>
      <c r="B25" s="63">
        <f t="shared" ref="B25:F25" si="3">+B24+B11</f>
        <v>28771.92796</v>
      </c>
      <c r="C25" s="63">
        <f t="shared" si="3"/>
        <v>24221.68766</v>
      </c>
      <c r="D25" s="63">
        <f t="shared" si="3"/>
        <v>31371.28625</v>
      </c>
      <c r="E25" s="63">
        <f t="shared" si="3"/>
        <v>37006.09033</v>
      </c>
      <c r="F25" s="63">
        <f t="shared" si="3"/>
        <v>47718.78685</v>
      </c>
      <c r="G25" s="63">
        <f t="shared" ref="G25:N25" si="4">+G11+G24</f>
        <v>41903.97899</v>
      </c>
      <c r="H25" s="63">
        <f t="shared" si="4"/>
        <v>40865.3251</v>
      </c>
      <c r="I25" s="63">
        <f t="shared" si="4"/>
        <v>49768.35263</v>
      </c>
      <c r="J25" s="63">
        <f t="shared" si="4"/>
        <v>64448.95487</v>
      </c>
      <c r="K25" s="63">
        <f t="shared" si="4"/>
        <v>66695.47865</v>
      </c>
      <c r="L25" s="63">
        <f t="shared" si="4"/>
        <v>60965.59106</v>
      </c>
      <c r="M25" s="63">
        <f t="shared" si="4"/>
        <v>75470.77413</v>
      </c>
      <c r="N25" s="63">
        <f t="shared" si="4"/>
        <v>569208.2345</v>
      </c>
    </row>
    <row r="26" ht="15.75" customHeight="1">
      <c r="A26" s="18" t="s">
        <v>43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25"/>
    </row>
    <row r="27" ht="15.75" customHeight="1">
      <c r="A27" s="31" t="s">
        <v>31</v>
      </c>
      <c r="B27" s="31">
        <v>155.446878</v>
      </c>
      <c r="C27" s="31">
        <v>91.7003908</v>
      </c>
      <c r="D27" s="31">
        <v>105.9198383</v>
      </c>
      <c r="E27" s="31">
        <v>103.8656992</v>
      </c>
      <c r="F27" s="31">
        <v>114.5435052</v>
      </c>
      <c r="G27" s="31">
        <v>128.22865697</v>
      </c>
      <c r="H27" s="31">
        <v>124.2146614</v>
      </c>
      <c r="I27" s="31">
        <v>143.8617535</v>
      </c>
      <c r="J27" s="31">
        <v>170.7614646</v>
      </c>
      <c r="K27" s="31">
        <v>195.8834326</v>
      </c>
      <c r="L27" s="31">
        <v>207.2172376</v>
      </c>
      <c r="M27" s="31">
        <v>255.0219082</v>
      </c>
      <c r="N27" s="25">
        <f t="shared" ref="N27:N38" si="5">SUM(B27:M27)</f>
        <v>1796.665426</v>
      </c>
    </row>
    <row r="28" ht="15.75" customHeight="1">
      <c r="A28" s="61" t="s">
        <v>81</v>
      </c>
      <c r="B28" s="31">
        <v>1381.7336046734495</v>
      </c>
      <c r="C28" s="31">
        <v>2194.3455142640364</v>
      </c>
      <c r="D28" s="31">
        <v>2815.1927810390403</v>
      </c>
      <c r="E28" s="31">
        <v>3024.7832033696504</v>
      </c>
      <c r="F28" s="31">
        <v>2809.2707406456307</v>
      </c>
      <c r="G28" s="31">
        <v>2847.7059307795516</v>
      </c>
      <c r="H28" s="31">
        <v>2299.5540512528996</v>
      </c>
      <c r="I28" s="31">
        <v>2777.09542854384</v>
      </c>
      <c r="J28" s="31">
        <v>3131.506699534024</v>
      </c>
      <c r="K28" s="31">
        <v>3422.33662823184</v>
      </c>
      <c r="L28" s="31">
        <v>3935.553848056</v>
      </c>
      <c r="M28" s="31">
        <v>5890.539578951062</v>
      </c>
      <c r="N28" s="25">
        <f t="shared" si="5"/>
        <v>36529.61801</v>
      </c>
    </row>
    <row r="29" ht="15.75" customHeight="1">
      <c r="A29" s="31" t="s">
        <v>82</v>
      </c>
      <c r="B29" s="31">
        <v>655.6673951806681</v>
      </c>
      <c r="C29" s="31">
        <v>781.7454419159853</v>
      </c>
      <c r="D29" s="31">
        <v>1164.382352873814</v>
      </c>
      <c r="E29" s="31">
        <v>895.232514066726</v>
      </c>
      <c r="F29" s="31">
        <v>1622.3321342989757</v>
      </c>
      <c r="G29" s="31">
        <v>1717.4900534805142</v>
      </c>
      <c r="H29" s="31">
        <v>801.6063452848</v>
      </c>
      <c r="I29" s="31">
        <v>1212.35633166873</v>
      </c>
      <c r="J29" s="31">
        <v>1846.2792666603623</v>
      </c>
      <c r="K29" s="31">
        <v>2210.216055101492</v>
      </c>
      <c r="L29" s="31">
        <v>2282.7482927700735</v>
      </c>
      <c r="M29" s="31">
        <v>3452.7649996716973</v>
      </c>
      <c r="N29" s="25">
        <f t="shared" si="5"/>
        <v>18642.82118</v>
      </c>
    </row>
    <row r="30" ht="15.75" customHeight="1">
      <c r="A30" s="31" t="s">
        <v>83</v>
      </c>
      <c r="B30" s="31">
        <v>628.9936902766902</v>
      </c>
      <c r="C30" s="31">
        <v>436.58388847000003</v>
      </c>
      <c r="D30" s="31">
        <v>574.1667882310604</v>
      </c>
      <c r="E30" s="31">
        <v>579.5925364453201</v>
      </c>
      <c r="F30" s="31">
        <v>372.74702348447533</v>
      </c>
      <c r="G30" s="31">
        <v>633.8336663140121</v>
      </c>
      <c r="H30" s="31">
        <v>423.12917131834394</v>
      </c>
      <c r="I30" s="31">
        <v>718.482853146</v>
      </c>
      <c r="J30" s="31">
        <v>917.2579175828319</v>
      </c>
      <c r="K30" s="31">
        <v>989.102628436</v>
      </c>
      <c r="L30" s="31">
        <v>1581.758552644</v>
      </c>
      <c r="M30" s="31">
        <v>1521.1674765816956</v>
      </c>
      <c r="N30" s="25">
        <f t="shared" si="5"/>
        <v>9376.816193</v>
      </c>
    </row>
    <row r="31" ht="15.75" customHeight="1">
      <c r="A31" s="61" t="s">
        <v>35</v>
      </c>
      <c r="B31" s="31">
        <v>0.0951482</v>
      </c>
      <c r="C31" s="31">
        <v>0.0775353</v>
      </c>
      <c r="D31" s="31">
        <v>1.5432244</v>
      </c>
      <c r="E31" s="31">
        <v>4.4183477</v>
      </c>
      <c r="F31" s="31">
        <v>2.1868383</v>
      </c>
      <c r="G31" s="31">
        <v>1.9761498</v>
      </c>
      <c r="H31" s="31">
        <v>6.2903462</v>
      </c>
      <c r="I31" s="31">
        <v>5.5339283</v>
      </c>
      <c r="J31" s="31">
        <v>6.6919014</v>
      </c>
      <c r="K31" s="31">
        <v>6.7677022</v>
      </c>
      <c r="L31" s="31">
        <v>5.432813</v>
      </c>
      <c r="M31" s="31">
        <v>7.4026479</v>
      </c>
      <c r="N31" s="25">
        <f t="shared" si="5"/>
        <v>48.4165827</v>
      </c>
    </row>
    <row r="32" ht="15.75" customHeight="1">
      <c r="A32" s="31" t="s">
        <v>36</v>
      </c>
      <c r="B32" s="31">
        <v>5441.858583679861</v>
      </c>
      <c r="C32" s="31">
        <v>4816.319411693045</v>
      </c>
      <c r="D32" s="31">
        <v>5162.711802244785</v>
      </c>
      <c r="E32" s="31">
        <v>5836.639789602927</v>
      </c>
      <c r="F32" s="31">
        <v>7935.018580913391</v>
      </c>
      <c r="G32" s="31">
        <v>6628.566553341836</v>
      </c>
      <c r="H32" s="31">
        <v>5699.819877196684</v>
      </c>
      <c r="I32" s="31">
        <v>5811.136923298794</v>
      </c>
      <c r="J32" s="31">
        <v>7591.758638686319</v>
      </c>
      <c r="K32" s="31">
        <v>7555.988157683297</v>
      </c>
      <c r="L32" s="31">
        <v>7727.068351880152</v>
      </c>
      <c r="M32" s="31">
        <v>11403.864568672729</v>
      </c>
      <c r="N32" s="25">
        <f t="shared" si="5"/>
        <v>81610.75124</v>
      </c>
    </row>
    <row r="33" ht="15.75" customHeight="1">
      <c r="A33" s="31" t="s">
        <v>46</v>
      </c>
      <c r="B33" s="31">
        <v>0.0</v>
      </c>
      <c r="C33" s="31">
        <v>0.0</v>
      </c>
      <c r="D33" s="31">
        <v>0.0</v>
      </c>
      <c r="E33" s="31">
        <v>0.0</v>
      </c>
      <c r="F33" s="31">
        <v>0.0</v>
      </c>
      <c r="G33" s="31">
        <v>0.0</v>
      </c>
      <c r="H33" s="31">
        <v>0.0</v>
      </c>
      <c r="I33" s="31">
        <v>0.0</v>
      </c>
      <c r="J33" s="31">
        <v>0.0</v>
      </c>
      <c r="K33" s="31">
        <v>0.0</v>
      </c>
      <c r="L33" s="31">
        <v>0.0</v>
      </c>
      <c r="M33" s="31">
        <v>0.0</v>
      </c>
      <c r="N33" s="25">
        <f t="shared" si="5"/>
        <v>0</v>
      </c>
    </row>
    <row r="34" ht="15.75" customHeight="1">
      <c r="A34" s="31" t="s">
        <v>47</v>
      </c>
      <c r="B34" s="31">
        <v>0.0</v>
      </c>
      <c r="C34" s="31">
        <v>9.704523172</v>
      </c>
      <c r="D34" s="31">
        <v>13.62142</v>
      </c>
      <c r="E34" s="31">
        <v>15.44879</v>
      </c>
      <c r="F34" s="31">
        <v>6.22</v>
      </c>
      <c r="G34" s="31">
        <v>7.17</v>
      </c>
      <c r="H34" s="31">
        <v>6.65</v>
      </c>
      <c r="I34" s="31">
        <v>6.170000000000001</v>
      </c>
      <c r="J34" s="31">
        <v>5.23</v>
      </c>
      <c r="K34" s="31">
        <v>5.220000000000001</v>
      </c>
      <c r="L34" s="31">
        <v>7.36</v>
      </c>
      <c r="M34" s="31">
        <v>10.15</v>
      </c>
      <c r="N34" s="25">
        <f t="shared" si="5"/>
        <v>92.94473317</v>
      </c>
    </row>
    <row r="35" ht="15.75" customHeight="1">
      <c r="A35" s="31" t="s">
        <v>38</v>
      </c>
      <c r="B35" s="31">
        <v>154.63447308675</v>
      </c>
      <c r="C35" s="31">
        <v>290.6006488025184</v>
      </c>
      <c r="D35" s="31">
        <v>259.845193813</v>
      </c>
      <c r="E35" s="31">
        <v>91.29430736205515</v>
      </c>
      <c r="F35" s="31">
        <v>0.0</v>
      </c>
      <c r="G35" s="31">
        <v>32.8904224</v>
      </c>
      <c r="H35" s="31">
        <v>143.0235567</v>
      </c>
      <c r="I35" s="31">
        <v>51.3165513</v>
      </c>
      <c r="J35" s="31">
        <v>113.39126780000001</v>
      </c>
      <c r="K35" s="31">
        <v>286.7138096</v>
      </c>
      <c r="L35" s="31">
        <v>235.76860700000003</v>
      </c>
      <c r="M35" s="31">
        <v>658.8808814</v>
      </c>
      <c r="N35" s="25">
        <f t="shared" si="5"/>
        <v>2318.359719</v>
      </c>
    </row>
    <row r="36" ht="15.75" customHeight="1">
      <c r="A36" s="31" t="s">
        <v>39</v>
      </c>
      <c r="B36" s="31">
        <v>0.0</v>
      </c>
      <c r="C36" s="31">
        <v>0.0</v>
      </c>
      <c r="D36" s="31">
        <v>0.0</v>
      </c>
      <c r="E36" s="31">
        <v>0.0</v>
      </c>
      <c r="F36" s="31">
        <v>0.0</v>
      </c>
      <c r="G36" s="31">
        <v>6.6969465</v>
      </c>
      <c r="H36" s="31">
        <v>6.1853821</v>
      </c>
      <c r="I36" s="31">
        <v>0.1906253</v>
      </c>
      <c r="J36" s="31">
        <v>8.0361574</v>
      </c>
      <c r="K36" s="31">
        <v>0.3243114</v>
      </c>
      <c r="L36" s="31">
        <v>0.1052075</v>
      </c>
      <c r="M36" s="31">
        <v>1.9467151</v>
      </c>
      <c r="N36" s="25">
        <f t="shared" si="5"/>
        <v>23.4853453</v>
      </c>
    </row>
    <row r="37" ht="15.75" customHeight="1">
      <c r="A37" s="31" t="s">
        <v>84</v>
      </c>
      <c r="B37" s="31">
        <v>27.6517713</v>
      </c>
      <c r="C37" s="31">
        <v>81.679647448</v>
      </c>
      <c r="D37" s="31">
        <v>146.390329131</v>
      </c>
      <c r="E37" s="31">
        <v>22.755857903</v>
      </c>
      <c r="F37" s="31">
        <v>3.502017985</v>
      </c>
      <c r="G37" s="31">
        <v>2.80896268875</v>
      </c>
      <c r="H37" s="31">
        <v>0.329220045</v>
      </c>
      <c r="I37" s="31">
        <v>0.615487633</v>
      </c>
      <c r="J37" s="31">
        <v>0.9901547539999999</v>
      </c>
      <c r="K37" s="31">
        <v>2.25427036</v>
      </c>
      <c r="L37" s="31">
        <v>2.4003686849999997</v>
      </c>
      <c r="M37" s="31">
        <v>0.7533307</v>
      </c>
      <c r="N37" s="25">
        <f t="shared" si="5"/>
        <v>292.1314186</v>
      </c>
    </row>
    <row r="38" ht="15.75" customHeight="1">
      <c r="A38" s="31" t="s">
        <v>85</v>
      </c>
      <c r="B38" s="31">
        <v>558.6193968434999</v>
      </c>
      <c r="C38" s="31">
        <v>1023.0439134365689</v>
      </c>
      <c r="D38" s="31">
        <v>492.28350541285744</v>
      </c>
      <c r="E38" s="31">
        <v>444.885308833582</v>
      </c>
      <c r="F38" s="31">
        <v>512.4478172939998</v>
      </c>
      <c r="G38" s="31">
        <v>546.3932428252806</v>
      </c>
      <c r="H38" s="31">
        <v>377.2399526506</v>
      </c>
      <c r="I38" s="31">
        <v>333.47897643832005</v>
      </c>
      <c r="J38" s="31">
        <v>298.95637884650006</v>
      </c>
      <c r="K38" s="31">
        <v>464.54155146467997</v>
      </c>
      <c r="L38" s="31">
        <v>331.86515404842</v>
      </c>
      <c r="M38" s="31">
        <v>1051.94552096509</v>
      </c>
      <c r="N38" s="25">
        <f t="shared" si="5"/>
        <v>6435.700719</v>
      </c>
    </row>
    <row r="39" ht="15.75" customHeight="1">
      <c r="A39" s="65" t="s">
        <v>86</v>
      </c>
      <c r="B39" s="63">
        <f t="shared" ref="B39:N39" si="6">SUM(B27:B38)</f>
        <v>9004.700941</v>
      </c>
      <c r="C39" s="63">
        <f t="shared" si="6"/>
        <v>9725.800915</v>
      </c>
      <c r="D39" s="63">
        <f t="shared" si="6"/>
        <v>10736.05724</v>
      </c>
      <c r="E39" s="63">
        <f t="shared" si="6"/>
        <v>11018.91635</v>
      </c>
      <c r="F39" s="63">
        <f t="shared" si="6"/>
        <v>13378.26866</v>
      </c>
      <c r="G39" s="63">
        <f t="shared" si="6"/>
        <v>12553.76059</v>
      </c>
      <c r="H39" s="63">
        <f t="shared" si="6"/>
        <v>9888.042564</v>
      </c>
      <c r="I39" s="63">
        <f t="shared" si="6"/>
        <v>11060.23886</v>
      </c>
      <c r="J39" s="63">
        <f t="shared" si="6"/>
        <v>14090.85985</v>
      </c>
      <c r="K39" s="63">
        <f t="shared" si="6"/>
        <v>15139.34855</v>
      </c>
      <c r="L39" s="63">
        <f t="shared" si="6"/>
        <v>16317.27843</v>
      </c>
      <c r="M39" s="63">
        <f t="shared" si="6"/>
        <v>24254.43763</v>
      </c>
      <c r="N39" s="63">
        <f t="shared" si="6"/>
        <v>157167.7106</v>
      </c>
    </row>
    <row r="40" ht="15.75" customHeight="1">
      <c r="A40" s="64" t="s">
        <v>50</v>
      </c>
      <c r="B40" s="63">
        <f t="shared" ref="B40:N40" si="7">+B25-B39</f>
        <v>19767.22702</v>
      </c>
      <c r="C40" s="63">
        <f t="shared" si="7"/>
        <v>14495.88674</v>
      </c>
      <c r="D40" s="63">
        <f t="shared" si="7"/>
        <v>20635.22901</v>
      </c>
      <c r="E40" s="63">
        <f t="shared" si="7"/>
        <v>25987.17397</v>
      </c>
      <c r="F40" s="63">
        <f t="shared" si="7"/>
        <v>34340.51819</v>
      </c>
      <c r="G40" s="63">
        <f t="shared" si="7"/>
        <v>29350.2184</v>
      </c>
      <c r="H40" s="63">
        <f t="shared" si="7"/>
        <v>30977.28253</v>
      </c>
      <c r="I40" s="63">
        <f t="shared" si="7"/>
        <v>38708.11377</v>
      </c>
      <c r="J40" s="63">
        <f t="shared" si="7"/>
        <v>50358.09503</v>
      </c>
      <c r="K40" s="63">
        <f t="shared" si="7"/>
        <v>51556.13011</v>
      </c>
      <c r="L40" s="63">
        <f t="shared" si="7"/>
        <v>44648.31263</v>
      </c>
      <c r="M40" s="63">
        <f t="shared" si="7"/>
        <v>51216.3365</v>
      </c>
      <c r="N40" s="63">
        <f t="shared" si="7"/>
        <v>412040.5239</v>
      </c>
    </row>
    <row r="41" ht="15.75" customHeight="1">
      <c r="A41" s="40" t="s">
        <v>52</v>
      </c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ht="15.75" customHeight="1">
      <c r="A42" s="44" t="s">
        <v>53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ht="15.75" customHeight="1">
      <c r="A43" s="47" t="s">
        <v>54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ht="15.75" customHeight="1">
      <c r="A44" s="47" t="s">
        <v>55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ht="15.75" customHeight="1">
      <c r="A45" s="47" t="s">
        <v>88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1"/>
    </row>
    <row r="46" ht="15.75" customHeight="1">
      <c r="A46" s="47" t="s">
        <v>57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1"/>
    </row>
    <row r="47" ht="15.75" customHeight="1">
      <c r="A47" s="47" t="s">
        <v>58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51"/>
    </row>
    <row r="48" ht="15.75" customHeight="1">
      <c r="A48" s="47" t="s">
        <v>59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1"/>
    </row>
    <row r="49" ht="15.75" customHeight="1">
      <c r="A49" s="47" t="s">
        <v>89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51"/>
    </row>
    <row r="50" ht="15.75" customHeight="1">
      <c r="A50" s="4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51"/>
    </row>
    <row r="51" ht="15.75" customHeight="1">
      <c r="A51" s="48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7:N7"/>
    <mergeCell ref="A8:N8"/>
    <mergeCell ref="A41:B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29"/>
    <col customWidth="1" min="2" max="14" width="17.57"/>
    <col customWidth="1" min="15" max="26" width="8.71"/>
  </cols>
  <sheetData>
    <row r="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>
      <c r="A4" s="4"/>
      <c r="B4" s="51"/>
      <c r="C4" s="51"/>
      <c r="D4" s="51"/>
      <c r="E4" s="3" t="s">
        <v>0</v>
      </c>
      <c r="F4" s="51"/>
      <c r="G4" s="51"/>
      <c r="H4" s="51"/>
      <c r="I4" s="51"/>
      <c r="J4" s="51"/>
      <c r="K4" s="51"/>
      <c r="L4" s="51"/>
      <c r="M4" s="51"/>
      <c r="N4" s="51"/>
    </row>
    <row r="5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>
      <c r="A6" s="52" t="s">
        <v>24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>
      <c r="A7" s="54" t="s">
        <v>61</v>
      </c>
    </row>
    <row r="8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</row>
    <row r="9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</row>
    <row r="10">
      <c r="A10" s="18" t="s">
        <v>28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>
      <c r="A11" s="22" t="s">
        <v>75</v>
      </c>
      <c r="B11" s="31">
        <v>67513.65731155791</v>
      </c>
      <c r="C11" s="31">
        <v>66391.61577026776</v>
      </c>
      <c r="D11" s="31">
        <v>55094.71031387508</v>
      </c>
      <c r="E11" s="31">
        <v>62690.27461527054</v>
      </c>
      <c r="F11" s="31">
        <v>62338.084064030896</v>
      </c>
      <c r="G11" s="31">
        <v>52955.349576878245</v>
      </c>
      <c r="H11" s="31">
        <v>59815.41049519008</v>
      </c>
      <c r="I11" s="31">
        <v>61260.05954154835</v>
      </c>
      <c r="J11" s="31">
        <v>62309.012601042254</v>
      </c>
      <c r="K11" s="31">
        <v>68082.7349574121</v>
      </c>
      <c r="L11" s="31">
        <v>55633.007482685905</v>
      </c>
      <c r="M11" s="31">
        <v>42917.05842957163</v>
      </c>
      <c r="N11" s="25">
        <f>SUM(B11:M11)</f>
        <v>717000.9752</v>
      </c>
    </row>
    <row r="12">
      <c r="A12" s="22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</row>
    <row r="13">
      <c r="A13" s="31" t="s">
        <v>31</v>
      </c>
      <c r="B13" s="31">
        <v>4769.772749343366</v>
      </c>
      <c r="C13" s="31">
        <v>3904.5130632338332</v>
      </c>
      <c r="D13" s="31">
        <v>3089.955489344962</v>
      </c>
      <c r="E13" s="31">
        <v>2316.0578840636986</v>
      </c>
      <c r="F13" s="31">
        <v>3239.6885931917186</v>
      </c>
      <c r="G13" s="31">
        <v>4280.9287226063525</v>
      </c>
      <c r="H13" s="31">
        <v>4476.943753971113</v>
      </c>
      <c r="I13" s="31">
        <v>4389.490399909115</v>
      </c>
      <c r="J13" s="31">
        <v>4178.381530380905</v>
      </c>
      <c r="K13" s="31">
        <v>6001.003931802572</v>
      </c>
      <c r="L13" s="31">
        <v>5380.740049943989</v>
      </c>
      <c r="M13" s="31">
        <v>4319.976628177378</v>
      </c>
      <c r="N13" s="25">
        <f t="shared" ref="N13:N22" si="1">SUM(B13:M13)</f>
        <v>50347.4528</v>
      </c>
    </row>
    <row r="14">
      <c r="A14" s="61" t="s">
        <v>32</v>
      </c>
      <c r="B14" s="31">
        <v>597.855312057</v>
      </c>
      <c r="C14" s="31">
        <v>583.6617332400366</v>
      </c>
      <c r="D14" s="31">
        <v>781.7343916372175</v>
      </c>
      <c r="E14" s="31">
        <v>1118.5332148658658</v>
      </c>
      <c r="F14" s="31">
        <v>745.7456583003</v>
      </c>
      <c r="G14" s="31">
        <v>1864.531756840276</v>
      </c>
      <c r="H14" s="31">
        <v>865.7023323000001</v>
      </c>
      <c r="I14" s="31">
        <v>627.4876286738</v>
      </c>
      <c r="J14" s="31">
        <v>1060.0784448</v>
      </c>
      <c r="K14" s="31">
        <v>889.6523773649569</v>
      </c>
      <c r="L14" s="31">
        <v>255.56608507273177</v>
      </c>
      <c r="M14" s="31">
        <v>219.4877506944568</v>
      </c>
      <c r="N14" s="25">
        <f t="shared" si="1"/>
        <v>9610.036686</v>
      </c>
    </row>
    <row r="15">
      <c r="A15" s="31" t="s">
        <v>33</v>
      </c>
      <c r="B15" s="31">
        <v>516.4710318600299</v>
      </c>
      <c r="C15" s="31">
        <v>555.4177212999999</v>
      </c>
      <c r="D15" s="31">
        <v>272.19264371038486</v>
      </c>
      <c r="E15" s="31">
        <v>764.862339085467</v>
      </c>
      <c r="F15" s="31">
        <v>752.7479277090154</v>
      </c>
      <c r="G15" s="31">
        <v>977.8052024551442</v>
      </c>
      <c r="H15" s="31">
        <v>471.6717358105242</v>
      </c>
      <c r="I15" s="31">
        <v>394.59651465326743</v>
      </c>
      <c r="J15" s="31">
        <v>580.1069872872511</v>
      </c>
      <c r="K15" s="31">
        <v>798.8766641452252</v>
      </c>
      <c r="L15" s="31">
        <v>269.51891140000004</v>
      </c>
      <c r="M15" s="31">
        <v>323.4600292656916</v>
      </c>
      <c r="N15" s="25">
        <f t="shared" si="1"/>
        <v>6677.727709</v>
      </c>
    </row>
    <row r="16">
      <c r="A16" s="31" t="s">
        <v>34</v>
      </c>
      <c r="B16" s="31">
        <v>308.649756236177</v>
      </c>
      <c r="C16" s="31">
        <v>0.0</v>
      </c>
      <c r="D16" s="31">
        <v>0.0</v>
      </c>
      <c r="E16" s="31">
        <v>0.0</v>
      </c>
      <c r="F16" s="31">
        <v>0.0046871</v>
      </c>
      <c r="G16" s="31">
        <v>0.0</v>
      </c>
      <c r="H16" s="31">
        <v>0.0</v>
      </c>
      <c r="I16" s="31">
        <v>0.0</v>
      </c>
      <c r="J16" s="31">
        <v>2.503E-4</v>
      </c>
      <c r="K16" s="31">
        <v>0.0</v>
      </c>
      <c r="L16" s="31">
        <v>0.0</v>
      </c>
      <c r="M16" s="31">
        <v>0.0</v>
      </c>
      <c r="N16" s="25">
        <f t="shared" si="1"/>
        <v>308.6546936</v>
      </c>
    </row>
    <row r="17">
      <c r="A17" s="61" t="s">
        <v>35</v>
      </c>
      <c r="B17" s="31">
        <v>0.0</v>
      </c>
      <c r="C17" s="31">
        <v>0.0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25">
        <f t="shared" si="1"/>
        <v>0</v>
      </c>
    </row>
    <row r="18">
      <c r="A18" s="31" t="s">
        <v>36</v>
      </c>
      <c r="B18" s="31">
        <v>604.4823128380001</v>
      </c>
      <c r="C18" s="31">
        <v>817.8773433330491</v>
      </c>
      <c r="D18" s="31">
        <v>1775.5339655609366</v>
      </c>
      <c r="E18" s="31">
        <v>486.381447182885</v>
      </c>
      <c r="F18" s="31">
        <v>197.047453789715</v>
      </c>
      <c r="G18" s="31">
        <v>592.5903631</v>
      </c>
      <c r="H18" s="31">
        <v>278.21554000000003</v>
      </c>
      <c r="I18" s="31">
        <v>50.677233900000004</v>
      </c>
      <c r="J18" s="31">
        <v>2292.22890523416</v>
      </c>
      <c r="K18" s="31">
        <v>3035.0355093518583</v>
      </c>
      <c r="L18" s="31">
        <v>1070.3523640386218</v>
      </c>
      <c r="M18" s="31">
        <v>418.626934957437</v>
      </c>
      <c r="N18" s="25">
        <f t="shared" si="1"/>
        <v>11619.04937</v>
      </c>
    </row>
    <row r="19">
      <c r="A19" s="31" t="s">
        <v>37</v>
      </c>
      <c r="B19" s="31">
        <v>881.3313683999987</v>
      </c>
      <c r="C19" s="31">
        <v>1326.0387175020496</v>
      </c>
      <c r="D19" s="31">
        <v>1188.1614829711402</v>
      </c>
      <c r="E19" s="31">
        <v>1046.8374098353418</v>
      </c>
      <c r="F19" s="31">
        <v>1033.1027523141076</v>
      </c>
      <c r="G19" s="31">
        <v>885.7578071000002</v>
      </c>
      <c r="H19" s="31">
        <v>1038.379342802126</v>
      </c>
      <c r="I19" s="31">
        <v>807.3951188594552</v>
      </c>
      <c r="J19" s="31">
        <v>788.1211621569</v>
      </c>
      <c r="K19" s="31">
        <v>960.4585869022495</v>
      </c>
      <c r="L19" s="31">
        <v>980.2518128401715</v>
      </c>
      <c r="M19" s="31">
        <v>932.9085200082195</v>
      </c>
      <c r="N19" s="25">
        <f t="shared" si="1"/>
        <v>11868.74408</v>
      </c>
    </row>
    <row r="20">
      <c r="A20" s="31" t="s">
        <v>38</v>
      </c>
      <c r="B20" s="31">
        <v>111.27334410000009</v>
      </c>
      <c r="C20" s="31">
        <v>287.1030396496</v>
      </c>
      <c r="D20" s="31">
        <v>925.8392975370102</v>
      </c>
      <c r="E20" s="31">
        <v>429.6372060778587</v>
      </c>
      <c r="F20" s="31">
        <v>814.8033117578279</v>
      </c>
      <c r="G20" s="31">
        <v>1202.448062792559</v>
      </c>
      <c r="H20" s="31">
        <v>742.1067285878091</v>
      </c>
      <c r="I20" s="31">
        <v>624.4350286398235</v>
      </c>
      <c r="J20" s="31">
        <v>1501.871262514674</v>
      </c>
      <c r="K20" s="31">
        <v>2264.2628458354866</v>
      </c>
      <c r="L20" s="31">
        <v>1248.8811482372187</v>
      </c>
      <c r="M20" s="31">
        <v>1638.7793761314263</v>
      </c>
      <c r="N20" s="25">
        <f t="shared" si="1"/>
        <v>11791.44065</v>
      </c>
    </row>
    <row r="21" ht="15.75" customHeight="1">
      <c r="A21" s="31" t="s">
        <v>39</v>
      </c>
      <c r="B21" s="31">
        <v>264.95648469999986</v>
      </c>
      <c r="C21" s="31">
        <v>306.8215026</v>
      </c>
      <c r="D21" s="31">
        <v>290.1377242</v>
      </c>
      <c r="E21" s="31">
        <v>210.6938274000001</v>
      </c>
      <c r="F21" s="31">
        <v>121.87327759999998</v>
      </c>
      <c r="G21" s="31">
        <v>154.23904090000008</v>
      </c>
      <c r="H21" s="31">
        <v>282.18787230000015</v>
      </c>
      <c r="I21" s="31">
        <v>284.48569069999996</v>
      </c>
      <c r="J21" s="31">
        <v>335.8476049</v>
      </c>
      <c r="K21" s="31">
        <v>430.06187704581765</v>
      </c>
      <c r="L21" s="31">
        <v>517.8012877999998</v>
      </c>
      <c r="M21" s="31">
        <v>434.5351199999997</v>
      </c>
      <c r="N21" s="25">
        <f t="shared" si="1"/>
        <v>3633.64131</v>
      </c>
    </row>
    <row r="22" ht="15.75" customHeight="1">
      <c r="A22" s="31" t="s">
        <v>78</v>
      </c>
      <c r="B22" s="31">
        <v>2093.7864028127397</v>
      </c>
      <c r="C22" s="31">
        <v>2627.794384909326</v>
      </c>
      <c r="D22" s="31">
        <v>2285.88943417891</v>
      </c>
      <c r="E22" s="31">
        <v>1799.7161168724979</v>
      </c>
      <c r="F22" s="31">
        <v>1543.342404796074</v>
      </c>
      <c r="G22" s="31">
        <v>1533.0798238246994</v>
      </c>
      <c r="H22" s="31">
        <v>1893.642489026255</v>
      </c>
      <c r="I22" s="31">
        <v>1306.5910016000103</v>
      </c>
      <c r="J22" s="31">
        <v>1546.9334370772349</v>
      </c>
      <c r="K22" s="31">
        <v>1155.196258688</v>
      </c>
      <c r="L22" s="31">
        <v>1063.3128064384036</v>
      </c>
      <c r="M22" s="31">
        <v>1035.5560266430998</v>
      </c>
      <c r="N22" s="25">
        <f t="shared" si="1"/>
        <v>19884.84059</v>
      </c>
    </row>
    <row r="23" ht="15.75" customHeight="1">
      <c r="A23" s="62" t="s">
        <v>79</v>
      </c>
      <c r="B23" s="63">
        <f t="shared" ref="B23:N23" si="2">SUM(B13:B22)</f>
        <v>10148.57876</v>
      </c>
      <c r="C23" s="63">
        <f t="shared" si="2"/>
        <v>10409.22751</v>
      </c>
      <c r="D23" s="63">
        <f t="shared" si="2"/>
        <v>10609.44443</v>
      </c>
      <c r="E23" s="63">
        <f t="shared" si="2"/>
        <v>8172.719445</v>
      </c>
      <c r="F23" s="63">
        <f t="shared" si="2"/>
        <v>8448.356067</v>
      </c>
      <c r="G23" s="63">
        <f t="shared" si="2"/>
        <v>11491.38078</v>
      </c>
      <c r="H23" s="63">
        <f t="shared" si="2"/>
        <v>10048.84979</v>
      </c>
      <c r="I23" s="63">
        <f t="shared" si="2"/>
        <v>8485.158617</v>
      </c>
      <c r="J23" s="63">
        <f t="shared" si="2"/>
        <v>12283.56958</v>
      </c>
      <c r="K23" s="63">
        <f t="shared" si="2"/>
        <v>15534.54805</v>
      </c>
      <c r="L23" s="63">
        <f t="shared" si="2"/>
        <v>10786.42447</v>
      </c>
      <c r="M23" s="63">
        <f t="shared" si="2"/>
        <v>9323.330386</v>
      </c>
      <c r="N23" s="63">
        <f t="shared" si="2"/>
        <v>125741.5879</v>
      </c>
    </row>
    <row r="24" ht="15.75" customHeight="1">
      <c r="A24" s="64" t="s">
        <v>80</v>
      </c>
      <c r="B24" s="63">
        <f t="shared" ref="B24:F24" si="3">+B23+B11</f>
        <v>77662.23607</v>
      </c>
      <c r="C24" s="63">
        <f t="shared" si="3"/>
        <v>76800.84328</v>
      </c>
      <c r="D24" s="63">
        <f t="shared" si="3"/>
        <v>65704.15474</v>
      </c>
      <c r="E24" s="63">
        <f t="shared" si="3"/>
        <v>70862.99406</v>
      </c>
      <c r="F24" s="63">
        <f t="shared" si="3"/>
        <v>70786.44013</v>
      </c>
      <c r="G24" s="63">
        <f t="shared" ref="G24:N24" si="4">+G11+G23</f>
        <v>64446.73036</v>
      </c>
      <c r="H24" s="63">
        <f t="shared" si="4"/>
        <v>69864.26029</v>
      </c>
      <c r="I24" s="63">
        <f t="shared" si="4"/>
        <v>69745.21816</v>
      </c>
      <c r="J24" s="63">
        <f t="shared" si="4"/>
        <v>74592.58219</v>
      </c>
      <c r="K24" s="63">
        <f t="shared" si="4"/>
        <v>83617.28301</v>
      </c>
      <c r="L24" s="63">
        <f t="shared" si="4"/>
        <v>66419.43195</v>
      </c>
      <c r="M24" s="63">
        <f t="shared" si="4"/>
        <v>52240.38882</v>
      </c>
      <c r="N24" s="63">
        <f t="shared" si="4"/>
        <v>842742.563</v>
      </c>
    </row>
    <row r="25" ht="15.75" customHeight="1">
      <c r="A25" s="18" t="s">
        <v>43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5"/>
    </row>
    <row r="26" ht="15.75" customHeight="1">
      <c r="A26" s="31" t="s">
        <v>31</v>
      </c>
      <c r="B26" s="31">
        <v>174.8827465</v>
      </c>
      <c r="C26" s="31">
        <v>168.9648985</v>
      </c>
      <c r="D26" s="31">
        <v>161.1536281</v>
      </c>
      <c r="E26" s="31">
        <v>147.576961</v>
      </c>
      <c r="F26" s="31">
        <v>103.6308223</v>
      </c>
      <c r="G26" s="31">
        <v>135.8747662</v>
      </c>
      <c r="H26" s="31">
        <v>128.7411443</v>
      </c>
      <c r="I26" s="31">
        <v>169.5476079</v>
      </c>
      <c r="J26" s="31">
        <v>174.0389021</v>
      </c>
      <c r="K26" s="31">
        <v>167.4897747</v>
      </c>
      <c r="L26" s="31">
        <v>217.5620414</v>
      </c>
      <c r="M26" s="31">
        <v>220.9902304</v>
      </c>
      <c r="N26" s="25">
        <f t="shared" ref="N26:N36" si="5">SUM(B26:M26)</f>
        <v>1970.453523</v>
      </c>
    </row>
    <row r="27" ht="15.75" customHeight="1">
      <c r="A27" s="61" t="s">
        <v>81</v>
      </c>
      <c r="B27" s="31">
        <v>4999.853591777</v>
      </c>
      <c r="C27" s="31">
        <v>6508.598332817327</v>
      </c>
      <c r="D27" s="31">
        <v>3494.713614348761</v>
      </c>
      <c r="E27" s="31">
        <v>5087.21761922</v>
      </c>
      <c r="F27" s="31">
        <v>3765.730299748</v>
      </c>
      <c r="G27" s="31">
        <v>5158.652369580895</v>
      </c>
      <c r="H27" s="31">
        <v>4304.154192634688</v>
      </c>
      <c r="I27" s="31">
        <v>4564.350980885007</v>
      </c>
      <c r="J27" s="31">
        <v>6138.715110449488</v>
      </c>
      <c r="K27" s="31">
        <v>3562.1121078309607</v>
      </c>
      <c r="L27" s="31">
        <v>4260.265857986627</v>
      </c>
      <c r="M27" s="31">
        <v>2667.499484867107</v>
      </c>
      <c r="N27" s="25">
        <f t="shared" si="5"/>
        <v>54511.86356</v>
      </c>
    </row>
    <row r="28" ht="15.75" customHeight="1">
      <c r="A28" s="31" t="s">
        <v>82</v>
      </c>
      <c r="B28" s="31">
        <v>2453.6156261546894</v>
      </c>
      <c r="C28" s="31">
        <v>3729.7819551904786</v>
      </c>
      <c r="D28" s="31">
        <v>1815.4589436252204</v>
      </c>
      <c r="E28" s="31">
        <v>1387.5573958896</v>
      </c>
      <c r="F28" s="31">
        <v>2201.9511629057747</v>
      </c>
      <c r="G28" s="31">
        <v>2666.733128540717</v>
      </c>
      <c r="H28" s="31">
        <v>3165.247303991447</v>
      </c>
      <c r="I28" s="31">
        <v>2823.362668562617</v>
      </c>
      <c r="J28" s="31">
        <v>3931.0219684355784</v>
      </c>
      <c r="K28" s="31">
        <v>3156.091797023923</v>
      </c>
      <c r="L28" s="31">
        <v>2464.465852310911</v>
      </c>
      <c r="M28" s="31">
        <v>1713.2610367147001</v>
      </c>
      <c r="N28" s="25">
        <f t="shared" si="5"/>
        <v>31508.54884</v>
      </c>
    </row>
    <row r="29" ht="15.75" customHeight="1">
      <c r="A29" s="31" t="s">
        <v>83</v>
      </c>
      <c r="B29" s="31">
        <v>2484.486854725659</v>
      </c>
      <c r="C29" s="31">
        <v>2129.932848422</v>
      </c>
      <c r="D29" s="31">
        <v>2623.3304930340805</v>
      </c>
      <c r="E29" s="31">
        <v>2043.2540154800004</v>
      </c>
      <c r="F29" s="31">
        <v>2276.249611452</v>
      </c>
      <c r="G29" s="31">
        <v>3124.5278713999523</v>
      </c>
      <c r="H29" s="31">
        <v>2604.009550048461</v>
      </c>
      <c r="I29" s="31">
        <v>2995.4610617580083</v>
      </c>
      <c r="J29" s="31">
        <v>2835.414445568238</v>
      </c>
      <c r="K29" s="31">
        <v>2105.8387321061955</v>
      </c>
      <c r="L29" s="31">
        <v>1930.0484617728864</v>
      </c>
      <c r="M29" s="31">
        <v>1305.7168691875029</v>
      </c>
      <c r="N29" s="25">
        <f t="shared" si="5"/>
        <v>28458.27081</v>
      </c>
    </row>
    <row r="30" ht="15.75" customHeight="1">
      <c r="A30" s="61" t="s">
        <v>35</v>
      </c>
      <c r="B30" s="31">
        <v>8.1339013</v>
      </c>
      <c r="C30" s="31">
        <v>8.1023231</v>
      </c>
      <c r="D30" s="31">
        <v>10.0452182</v>
      </c>
      <c r="E30" s="31">
        <v>8.1984372</v>
      </c>
      <c r="F30" s="31">
        <v>10.428487</v>
      </c>
      <c r="G30" s="31">
        <v>10.8211068</v>
      </c>
      <c r="H30" s="31">
        <v>4.6546983</v>
      </c>
      <c r="I30" s="31">
        <v>8.7533441</v>
      </c>
      <c r="J30" s="31">
        <v>83.648421396</v>
      </c>
      <c r="K30" s="31">
        <v>222.34123498999998</v>
      </c>
      <c r="L30" s="31">
        <v>69.73989766815</v>
      </c>
      <c r="M30" s="31">
        <v>114.83362020565</v>
      </c>
      <c r="N30" s="25">
        <f t="shared" si="5"/>
        <v>559.7006903</v>
      </c>
    </row>
    <row r="31" ht="15.75" customHeight="1">
      <c r="A31" s="31" t="s">
        <v>36</v>
      </c>
      <c r="B31" s="31">
        <v>8771.29414482058</v>
      </c>
      <c r="C31" s="31">
        <v>9143.309619448344</v>
      </c>
      <c r="D31" s="31">
        <v>8744.309642720658</v>
      </c>
      <c r="E31" s="31">
        <v>10609.2845082856</v>
      </c>
      <c r="F31" s="31">
        <v>9452.203447628137</v>
      </c>
      <c r="G31" s="31">
        <v>13679.849593225288</v>
      </c>
      <c r="H31" s="31">
        <v>12534.041081649917</v>
      </c>
      <c r="I31" s="31">
        <v>13264.074826040778</v>
      </c>
      <c r="J31" s="31">
        <v>13113.094808258575</v>
      </c>
      <c r="K31" s="31">
        <v>8781.891636672572</v>
      </c>
      <c r="L31" s="31">
        <v>8499.744875016531</v>
      </c>
      <c r="M31" s="31">
        <v>7326.172053834494</v>
      </c>
      <c r="N31" s="25">
        <f t="shared" si="5"/>
        <v>123919.2702</v>
      </c>
    </row>
    <row r="32" ht="15.75" customHeight="1">
      <c r="A32" s="31" t="s">
        <v>46</v>
      </c>
      <c r="B32" s="31">
        <v>0.0</v>
      </c>
      <c r="C32" s="31">
        <v>0.0</v>
      </c>
      <c r="D32" s="31">
        <v>0.0</v>
      </c>
      <c r="E32" s="31">
        <v>0.0</v>
      </c>
      <c r="F32" s="31">
        <v>0.0</v>
      </c>
      <c r="G32" s="31">
        <v>0.0</v>
      </c>
      <c r="H32" s="31">
        <v>0.0</v>
      </c>
      <c r="I32" s="31">
        <v>0.0</v>
      </c>
      <c r="J32" s="31">
        <v>0.0</v>
      </c>
      <c r="K32" s="31">
        <v>0.0</v>
      </c>
      <c r="L32" s="31">
        <v>0.0</v>
      </c>
      <c r="M32" s="31">
        <v>0.0</v>
      </c>
      <c r="N32" s="25">
        <f t="shared" si="5"/>
        <v>0</v>
      </c>
    </row>
    <row r="33" ht="15.75" customHeight="1">
      <c r="A33" s="31" t="s">
        <v>47</v>
      </c>
      <c r="B33" s="31">
        <v>0.87</v>
      </c>
      <c r="C33" s="31">
        <v>5.91</v>
      </c>
      <c r="D33" s="31">
        <v>9.690000000000001</v>
      </c>
      <c r="E33" s="31">
        <v>9.9</v>
      </c>
      <c r="F33" s="31">
        <v>8.57</v>
      </c>
      <c r="G33" s="31">
        <v>10.61</v>
      </c>
      <c r="H33" s="31">
        <v>8.6</v>
      </c>
      <c r="I33" s="31">
        <v>10.390000000000002</v>
      </c>
      <c r="J33" s="31">
        <v>7.540000000000001</v>
      </c>
      <c r="K33" s="31">
        <v>8.56</v>
      </c>
      <c r="L33" s="31">
        <v>10.15</v>
      </c>
      <c r="M33" s="31">
        <v>5.18</v>
      </c>
      <c r="N33" s="25">
        <f t="shared" si="5"/>
        <v>95.97</v>
      </c>
    </row>
    <row r="34" ht="15.75" customHeight="1">
      <c r="A34" s="31" t="s">
        <v>38</v>
      </c>
      <c r="B34" s="31">
        <v>160.5199377</v>
      </c>
      <c r="C34" s="31">
        <v>280.11</v>
      </c>
      <c r="D34" s="31">
        <v>315.68453170000004</v>
      </c>
      <c r="E34" s="31">
        <v>425.9154017</v>
      </c>
      <c r="F34" s="31">
        <v>371.47372041335</v>
      </c>
      <c r="G34" s="31">
        <v>979.8708299985999</v>
      </c>
      <c r="H34" s="31">
        <v>329.32121636625</v>
      </c>
      <c r="I34" s="31">
        <v>330.48936723196</v>
      </c>
      <c r="J34" s="31">
        <v>66.622912261</v>
      </c>
      <c r="K34" s="31">
        <v>0.3254741</v>
      </c>
      <c r="L34" s="31">
        <v>336.23655091324196</v>
      </c>
      <c r="M34" s="31">
        <v>214.64686494742142</v>
      </c>
      <c r="N34" s="25">
        <f t="shared" si="5"/>
        <v>3811.216807</v>
      </c>
    </row>
    <row r="35" ht="15.75" customHeight="1">
      <c r="A35" s="31" t="s">
        <v>39</v>
      </c>
      <c r="B35" s="31">
        <v>12.3616809</v>
      </c>
      <c r="C35" s="31">
        <v>11.3246259</v>
      </c>
      <c r="D35" s="31">
        <v>2.4015566</v>
      </c>
      <c r="E35" s="31">
        <v>2.9478871</v>
      </c>
      <c r="F35" s="31">
        <v>15.0445694</v>
      </c>
      <c r="G35" s="31">
        <v>7.0681826</v>
      </c>
      <c r="H35" s="31">
        <v>7.7166939</v>
      </c>
      <c r="I35" s="31">
        <v>7.8224159</v>
      </c>
      <c r="J35" s="31">
        <v>0.0</v>
      </c>
      <c r="K35" s="31">
        <v>14.4480266</v>
      </c>
      <c r="L35" s="31">
        <v>7.4645774</v>
      </c>
      <c r="M35" s="31">
        <v>0.0</v>
      </c>
      <c r="N35" s="25">
        <f t="shared" si="5"/>
        <v>88.6002163</v>
      </c>
    </row>
    <row r="36" ht="15.75" customHeight="1">
      <c r="A36" s="31" t="s">
        <v>85</v>
      </c>
      <c r="B36" s="31">
        <v>398.41286671870347</v>
      </c>
      <c r="C36" s="31">
        <v>935.21856080146</v>
      </c>
      <c r="D36" s="31">
        <v>525.4042814414216</v>
      </c>
      <c r="E36" s="31">
        <v>891.0852871038</v>
      </c>
      <c r="F36" s="31">
        <v>1474.175670999161</v>
      </c>
      <c r="G36" s="31">
        <v>582.9310590879692</v>
      </c>
      <c r="H36" s="31">
        <v>504.01173496745986</v>
      </c>
      <c r="I36" s="31">
        <v>690.8500988768</v>
      </c>
      <c r="J36" s="31">
        <v>824.7896731573335</v>
      </c>
      <c r="K36" s="31">
        <v>877.8238888674999</v>
      </c>
      <c r="L36" s="31">
        <v>750.5252563451811</v>
      </c>
      <c r="M36" s="31">
        <v>638.419120174</v>
      </c>
      <c r="N36" s="25">
        <f t="shared" si="5"/>
        <v>9093.647499</v>
      </c>
    </row>
    <row r="37" ht="15.75" customHeight="1">
      <c r="A37" s="65" t="s">
        <v>86</v>
      </c>
      <c r="B37" s="63">
        <f t="shared" ref="B37:N37" si="6">SUM(B26:B36)</f>
        <v>19464.43135</v>
      </c>
      <c r="C37" s="63">
        <f t="shared" si="6"/>
        <v>22921.25316</v>
      </c>
      <c r="D37" s="63">
        <f t="shared" si="6"/>
        <v>17702.19191</v>
      </c>
      <c r="E37" s="63">
        <f t="shared" si="6"/>
        <v>20612.93751</v>
      </c>
      <c r="F37" s="63">
        <f t="shared" si="6"/>
        <v>19679.45779</v>
      </c>
      <c r="G37" s="63">
        <f t="shared" si="6"/>
        <v>26356.93891</v>
      </c>
      <c r="H37" s="63">
        <f t="shared" si="6"/>
        <v>23590.49762</v>
      </c>
      <c r="I37" s="63">
        <f t="shared" si="6"/>
        <v>24865.10237</v>
      </c>
      <c r="J37" s="63">
        <f t="shared" si="6"/>
        <v>27174.88624</v>
      </c>
      <c r="K37" s="63">
        <f t="shared" si="6"/>
        <v>18896.92267</v>
      </c>
      <c r="L37" s="63">
        <f t="shared" si="6"/>
        <v>18546.20337</v>
      </c>
      <c r="M37" s="63">
        <f t="shared" si="6"/>
        <v>14206.71928</v>
      </c>
      <c r="N37" s="63">
        <f t="shared" si="6"/>
        <v>254017.5422</v>
      </c>
    </row>
    <row r="38" ht="15.75" customHeight="1">
      <c r="A38" s="64" t="s">
        <v>50</v>
      </c>
      <c r="B38" s="63">
        <f t="shared" ref="B38:N38" si="7">+B24-B37</f>
        <v>58197.80472</v>
      </c>
      <c r="C38" s="63">
        <f t="shared" si="7"/>
        <v>53879.59011</v>
      </c>
      <c r="D38" s="63">
        <f t="shared" si="7"/>
        <v>48001.96283</v>
      </c>
      <c r="E38" s="63">
        <f t="shared" si="7"/>
        <v>50250.05655</v>
      </c>
      <c r="F38" s="63">
        <f t="shared" si="7"/>
        <v>51106.98234</v>
      </c>
      <c r="G38" s="63">
        <f t="shared" si="7"/>
        <v>38089.79145</v>
      </c>
      <c r="H38" s="63">
        <f t="shared" si="7"/>
        <v>46273.76267</v>
      </c>
      <c r="I38" s="63">
        <f t="shared" si="7"/>
        <v>44880.11579</v>
      </c>
      <c r="J38" s="63">
        <f t="shared" si="7"/>
        <v>47417.69594</v>
      </c>
      <c r="K38" s="63">
        <f t="shared" si="7"/>
        <v>64720.36034</v>
      </c>
      <c r="L38" s="63">
        <f t="shared" si="7"/>
        <v>47873.22858</v>
      </c>
      <c r="M38" s="63">
        <f t="shared" si="7"/>
        <v>38033.66954</v>
      </c>
      <c r="N38" s="63">
        <f t="shared" si="7"/>
        <v>588725.0209</v>
      </c>
    </row>
    <row r="39" ht="15.75" customHeight="1">
      <c r="A39" s="40" t="s">
        <v>52</v>
      </c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ht="15.75" customHeight="1">
      <c r="A40" s="44" t="s">
        <v>53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ht="15.75" customHeight="1">
      <c r="A41" s="47" t="s">
        <v>54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ht="15.75" customHeight="1">
      <c r="A42" s="47" t="s">
        <v>55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ht="15.75" customHeight="1">
      <c r="A43" s="47" t="s">
        <v>56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51"/>
    </row>
    <row r="44" ht="15.75" customHeight="1">
      <c r="A44" s="47" t="s">
        <v>57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51"/>
    </row>
    <row r="45" ht="15.75" customHeight="1">
      <c r="A45" s="47" t="s">
        <v>58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1"/>
    </row>
    <row r="46" ht="15.75" customHeight="1">
      <c r="A46" s="47" t="s">
        <v>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1"/>
    </row>
    <row r="47" ht="15.75" customHeight="1">
      <c r="A47" s="47" t="s">
        <v>60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51"/>
    </row>
    <row r="48" ht="15.75" customHeight="1">
      <c r="A48" s="4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1"/>
    </row>
    <row r="49" ht="15.75" customHeight="1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7:N7"/>
    <mergeCell ref="A8:N8"/>
    <mergeCell ref="A39:B39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14" width="17.57"/>
    <col customWidth="1" min="15" max="26" width="8.71"/>
  </cols>
  <sheetData>
    <row r="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>
      <c r="A4" s="4"/>
      <c r="B4" s="51"/>
      <c r="C4" s="51"/>
      <c r="D4" s="51"/>
      <c r="E4" s="3" t="s">
        <v>0</v>
      </c>
      <c r="F4" s="51"/>
      <c r="G4" s="51"/>
      <c r="H4" s="51"/>
      <c r="I4" s="51"/>
      <c r="J4" s="51"/>
      <c r="K4" s="51"/>
      <c r="L4" s="51"/>
      <c r="M4" s="51"/>
      <c r="N4" s="51"/>
    </row>
    <row r="5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>
      <c r="A6" s="52" t="s">
        <v>90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>
      <c r="A7" s="54" t="s">
        <v>61</v>
      </c>
    </row>
    <row r="8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</row>
    <row r="9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</row>
    <row r="10">
      <c r="A10" s="18" t="s">
        <v>28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>
      <c r="A11" s="22" t="s">
        <v>29</v>
      </c>
      <c r="B11" s="31">
        <v>54773.944352908766</v>
      </c>
      <c r="C11" s="31">
        <v>68799.38059590533</v>
      </c>
      <c r="D11" s="31">
        <v>69745.59032409028</v>
      </c>
      <c r="E11" s="31">
        <v>71013.14156541936</v>
      </c>
      <c r="F11" s="31">
        <v>69055.32315261489</v>
      </c>
      <c r="G11" s="31">
        <v>70493.00431792041</v>
      </c>
      <c r="H11" s="31">
        <v>84901.82842967285</v>
      </c>
      <c r="I11" s="31">
        <v>59275.17012568331</v>
      </c>
      <c r="J11" s="31">
        <v>59454.51148509</v>
      </c>
      <c r="K11" s="31">
        <v>58810.76231757933</v>
      </c>
      <c r="L11" s="31">
        <v>54282.29974256237</v>
      </c>
      <c r="M11" s="31">
        <v>62577.89369692175</v>
      </c>
      <c r="N11" s="25">
        <f>SUM(B11:M11)</f>
        <v>783182.8501</v>
      </c>
    </row>
    <row r="12">
      <c r="A12" s="22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</row>
    <row r="13">
      <c r="A13" s="31" t="s">
        <v>31</v>
      </c>
      <c r="B13" s="31">
        <v>2757.009795145292</v>
      </c>
      <c r="C13" s="31">
        <v>3035.20636458348</v>
      </c>
      <c r="D13" s="31">
        <v>4267.9005282536755</v>
      </c>
      <c r="E13" s="31">
        <v>4310.919907843068</v>
      </c>
      <c r="F13" s="31">
        <v>5131.261197093075</v>
      </c>
      <c r="G13" s="31">
        <v>5237.166359424682</v>
      </c>
      <c r="H13" s="31">
        <v>4842.869797546227</v>
      </c>
      <c r="I13" s="31">
        <v>4134.269240996949</v>
      </c>
      <c r="J13" s="31">
        <v>3868.2432880573406</v>
      </c>
      <c r="K13" s="31">
        <v>3279.6500651517886</v>
      </c>
      <c r="L13" s="31">
        <v>4070.018207253781</v>
      </c>
      <c r="M13" s="31">
        <v>5004.528095876609</v>
      </c>
      <c r="N13" s="25">
        <f t="shared" ref="N13:N22" si="1">SUM(B13:M13)</f>
        <v>49939.04285</v>
      </c>
    </row>
    <row r="14">
      <c r="A14" s="61" t="s">
        <v>32</v>
      </c>
      <c r="B14" s="31">
        <v>0.0</v>
      </c>
      <c r="C14" s="31">
        <v>862.974431564746</v>
      </c>
      <c r="D14" s="31">
        <v>0.0</v>
      </c>
      <c r="E14" s="31">
        <v>0.0</v>
      </c>
      <c r="F14" s="31">
        <v>193.91637524700002</v>
      </c>
      <c r="G14" s="31">
        <v>244.38610186871347</v>
      </c>
      <c r="H14" s="31">
        <v>194.87476033889482</v>
      </c>
      <c r="I14" s="31">
        <v>155.44096716781175</v>
      </c>
      <c r="J14" s="31">
        <v>131.0159723636276</v>
      </c>
      <c r="K14" s="31">
        <v>249.2984345777875</v>
      </c>
      <c r="L14" s="31">
        <v>414.408722279914</v>
      </c>
      <c r="M14" s="31">
        <v>657.61486835878</v>
      </c>
      <c r="N14" s="25">
        <f t="shared" si="1"/>
        <v>3103.930634</v>
      </c>
    </row>
    <row r="15">
      <c r="A15" s="31" t="s">
        <v>33</v>
      </c>
      <c r="B15" s="31">
        <v>1353.4022294755969</v>
      </c>
      <c r="C15" s="31">
        <v>588.1531976338124</v>
      </c>
      <c r="D15" s="31">
        <v>977.1644903301062</v>
      </c>
      <c r="E15" s="31">
        <v>783.8342163746106</v>
      </c>
      <c r="F15" s="31">
        <v>761.58518887739</v>
      </c>
      <c r="G15" s="31">
        <v>821.1899409559129</v>
      </c>
      <c r="H15" s="31">
        <v>1346.767570310599</v>
      </c>
      <c r="I15" s="31">
        <v>1166.5783805963817</v>
      </c>
      <c r="J15" s="31">
        <v>703.5494442610088</v>
      </c>
      <c r="K15" s="31">
        <v>196.4365229580286</v>
      </c>
      <c r="L15" s="31">
        <v>668.1411173871938</v>
      </c>
      <c r="M15" s="31">
        <v>298.57490026229993</v>
      </c>
      <c r="N15" s="25">
        <f t="shared" si="1"/>
        <v>9665.377199</v>
      </c>
    </row>
    <row r="16">
      <c r="A16" s="31" t="s">
        <v>34</v>
      </c>
      <c r="B16" s="31">
        <v>176.71896310000002</v>
      </c>
      <c r="C16" s="31">
        <v>34.9884553</v>
      </c>
      <c r="D16" s="31">
        <v>76.2981145</v>
      </c>
      <c r="E16" s="31">
        <v>157.3663777</v>
      </c>
      <c r="F16" s="31">
        <v>199.0777909</v>
      </c>
      <c r="G16" s="31">
        <v>208.8739823</v>
      </c>
      <c r="H16" s="31">
        <v>249.3218651</v>
      </c>
      <c r="I16" s="31">
        <v>114.69872120000001</v>
      </c>
      <c r="J16" s="31">
        <v>126.2723012</v>
      </c>
      <c r="K16" s="31">
        <v>23.6715212</v>
      </c>
      <c r="L16" s="31">
        <v>0.0</v>
      </c>
      <c r="M16" s="31">
        <v>25.1747725</v>
      </c>
      <c r="N16" s="25">
        <f t="shared" si="1"/>
        <v>1392.462865</v>
      </c>
    </row>
    <row r="17">
      <c r="A17" s="61" t="s">
        <v>35</v>
      </c>
      <c r="B17" s="31">
        <v>0.0</v>
      </c>
      <c r="C17" s="31">
        <v>0.0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25">
        <f t="shared" si="1"/>
        <v>0</v>
      </c>
    </row>
    <row r="18">
      <c r="A18" s="31" t="s">
        <v>36</v>
      </c>
      <c r="B18" s="31">
        <v>295.535984861085</v>
      </c>
      <c r="C18" s="31">
        <v>545.7665787135593</v>
      </c>
      <c r="D18" s="31">
        <v>29.937406699999993</v>
      </c>
      <c r="E18" s="31">
        <v>11.300313199999998</v>
      </c>
      <c r="F18" s="31">
        <v>20.150009599999994</v>
      </c>
      <c r="G18" s="31">
        <v>13.5016651</v>
      </c>
      <c r="H18" s="31">
        <v>112.01790749999995</v>
      </c>
      <c r="I18" s="31">
        <v>46.3990081</v>
      </c>
      <c r="J18" s="31">
        <v>34.026876</v>
      </c>
      <c r="K18" s="31">
        <v>301.8213984569337</v>
      </c>
      <c r="L18" s="31">
        <v>740.36327081485</v>
      </c>
      <c r="M18" s="31">
        <v>334.94552788031996</v>
      </c>
      <c r="N18" s="25">
        <f t="shared" si="1"/>
        <v>2485.765947</v>
      </c>
    </row>
    <row r="19">
      <c r="A19" s="31" t="s">
        <v>37</v>
      </c>
      <c r="B19" s="31">
        <v>608.6111880999991</v>
      </c>
      <c r="C19" s="31">
        <v>1117.6558270999974</v>
      </c>
      <c r="D19" s="31">
        <v>1229.4522331999995</v>
      </c>
      <c r="E19" s="31">
        <v>1053.901062053635</v>
      </c>
      <c r="F19" s="31">
        <v>1232.4479588649983</v>
      </c>
      <c r="G19" s="31">
        <v>942.8735347321996</v>
      </c>
      <c r="H19" s="31">
        <v>1425.1504386999998</v>
      </c>
      <c r="I19" s="31">
        <v>1223.8616022429983</v>
      </c>
      <c r="J19" s="31">
        <v>1103.090072189987</v>
      </c>
      <c r="K19" s="31">
        <v>1049.0551736807497</v>
      </c>
      <c r="L19" s="31">
        <v>945.252924667166</v>
      </c>
      <c r="M19" s="31">
        <v>1417.8945933378388</v>
      </c>
      <c r="N19" s="25">
        <f t="shared" si="1"/>
        <v>13349.24661</v>
      </c>
    </row>
    <row r="20">
      <c r="A20" s="31" t="s">
        <v>38</v>
      </c>
      <c r="B20" s="31">
        <v>930.8103603505035</v>
      </c>
      <c r="C20" s="31">
        <v>405.3468174657521</v>
      </c>
      <c r="D20" s="31">
        <v>703.108100539316</v>
      </c>
      <c r="E20" s="31">
        <v>596.5477873680337</v>
      </c>
      <c r="F20" s="31">
        <v>264.05185100000017</v>
      </c>
      <c r="G20" s="31">
        <v>201.68005656243713</v>
      </c>
      <c r="H20" s="31">
        <v>191.4856610000001</v>
      </c>
      <c r="I20" s="31">
        <v>132.85493430000002</v>
      </c>
      <c r="J20" s="31">
        <v>655.1984613996967</v>
      </c>
      <c r="K20" s="31">
        <v>65.60104849999998</v>
      </c>
      <c r="L20" s="31">
        <v>399.33325184809803</v>
      </c>
      <c r="M20" s="31">
        <v>235.85536442485855</v>
      </c>
      <c r="N20" s="25">
        <f t="shared" si="1"/>
        <v>4781.873695</v>
      </c>
    </row>
    <row r="21" ht="15.75" customHeight="1">
      <c r="A21" s="31" t="s">
        <v>39</v>
      </c>
      <c r="B21" s="31">
        <v>228.02166850000012</v>
      </c>
      <c r="C21" s="31">
        <v>201.1762520000001</v>
      </c>
      <c r="D21" s="31">
        <v>129.29772709999995</v>
      </c>
      <c r="E21" s="31">
        <v>107.08283110000004</v>
      </c>
      <c r="F21" s="31">
        <v>91.3799122</v>
      </c>
      <c r="G21" s="31">
        <v>142.17174949999998</v>
      </c>
      <c r="H21" s="31">
        <v>160.02712939999998</v>
      </c>
      <c r="I21" s="31">
        <v>173.5426213</v>
      </c>
      <c r="J21" s="31">
        <v>170.83771980000003</v>
      </c>
      <c r="K21" s="31">
        <v>209.16618689999996</v>
      </c>
      <c r="L21" s="31">
        <v>204.59118739999994</v>
      </c>
      <c r="M21" s="31">
        <v>332.1798092000001</v>
      </c>
      <c r="N21" s="25">
        <f t="shared" si="1"/>
        <v>2149.474794</v>
      </c>
    </row>
    <row r="22" ht="15.75" customHeight="1">
      <c r="A22" s="29" t="s">
        <v>91</v>
      </c>
      <c r="B22" s="31">
        <v>2021.5808955166526</v>
      </c>
      <c r="C22" s="31">
        <v>2052.4860110790923</v>
      </c>
      <c r="D22" s="31">
        <v>2411.7698026364733</v>
      </c>
      <c r="E22" s="31">
        <v>2445.600735595788</v>
      </c>
      <c r="F22" s="31">
        <v>2353.9809282677006</v>
      </c>
      <c r="G22" s="31">
        <v>1908.5649153295526</v>
      </c>
      <c r="H22" s="31">
        <v>1661.870150300666</v>
      </c>
      <c r="I22" s="31">
        <v>1892.250887758687</v>
      </c>
      <c r="J22" s="31">
        <v>2764.037534813905</v>
      </c>
      <c r="K22" s="31">
        <v>2564.083743653684</v>
      </c>
      <c r="L22" s="31">
        <v>2439.5474819180945</v>
      </c>
      <c r="M22" s="31">
        <v>2282.4894894110316</v>
      </c>
      <c r="N22" s="25">
        <f t="shared" si="1"/>
        <v>26798.26258</v>
      </c>
    </row>
    <row r="23" ht="15.75" customHeight="1">
      <c r="A23" s="62" t="s">
        <v>79</v>
      </c>
      <c r="B23" s="63">
        <f t="shared" ref="B23:N23" si="2">SUM(B13:B22)</f>
        <v>8371.691085</v>
      </c>
      <c r="C23" s="63">
        <f t="shared" si="2"/>
        <v>8843.753935</v>
      </c>
      <c r="D23" s="63">
        <f t="shared" si="2"/>
        <v>9824.928403</v>
      </c>
      <c r="E23" s="63">
        <f t="shared" si="2"/>
        <v>9466.553231</v>
      </c>
      <c r="F23" s="63">
        <f t="shared" si="2"/>
        <v>10247.85121</v>
      </c>
      <c r="G23" s="63">
        <f t="shared" si="2"/>
        <v>9720.408306</v>
      </c>
      <c r="H23" s="63">
        <f t="shared" si="2"/>
        <v>10184.38528</v>
      </c>
      <c r="I23" s="63">
        <f t="shared" si="2"/>
        <v>9039.896364</v>
      </c>
      <c r="J23" s="63">
        <f t="shared" si="2"/>
        <v>9556.27167</v>
      </c>
      <c r="K23" s="63">
        <f t="shared" si="2"/>
        <v>7938.784095</v>
      </c>
      <c r="L23" s="63">
        <f t="shared" si="2"/>
        <v>9881.656164</v>
      </c>
      <c r="M23" s="63">
        <f t="shared" si="2"/>
        <v>10589.25742</v>
      </c>
      <c r="N23" s="63">
        <f t="shared" si="2"/>
        <v>113665.4372</v>
      </c>
    </row>
    <row r="24" ht="15.75" customHeight="1">
      <c r="A24" s="64" t="s">
        <v>80</v>
      </c>
      <c r="B24" s="63">
        <f t="shared" ref="B24:F24" si="3">+B23+B11</f>
        <v>63145.63544</v>
      </c>
      <c r="C24" s="63">
        <f t="shared" si="3"/>
        <v>77643.13453</v>
      </c>
      <c r="D24" s="63">
        <f t="shared" si="3"/>
        <v>79570.51873</v>
      </c>
      <c r="E24" s="63">
        <f t="shared" si="3"/>
        <v>80479.6948</v>
      </c>
      <c r="F24" s="63">
        <f t="shared" si="3"/>
        <v>79303.17436</v>
      </c>
      <c r="G24" s="63">
        <f t="shared" ref="G24:N24" si="4">+G11+G23</f>
        <v>80213.41262</v>
      </c>
      <c r="H24" s="63">
        <f t="shared" si="4"/>
        <v>95086.21371</v>
      </c>
      <c r="I24" s="63">
        <f t="shared" si="4"/>
        <v>68315.06649</v>
      </c>
      <c r="J24" s="63">
        <f t="shared" si="4"/>
        <v>69010.78316</v>
      </c>
      <c r="K24" s="63">
        <f t="shared" si="4"/>
        <v>66749.54641</v>
      </c>
      <c r="L24" s="63">
        <f t="shared" si="4"/>
        <v>64163.95591</v>
      </c>
      <c r="M24" s="63">
        <f t="shared" si="4"/>
        <v>73167.15112</v>
      </c>
      <c r="N24" s="63">
        <f t="shared" si="4"/>
        <v>896848.2873</v>
      </c>
    </row>
    <row r="25" ht="15.75" customHeight="1">
      <c r="A25" s="18" t="s">
        <v>43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5"/>
    </row>
    <row r="26" ht="15.75" customHeight="1">
      <c r="A26" s="31" t="s">
        <v>31</v>
      </c>
      <c r="B26" s="31">
        <v>119.7943018</v>
      </c>
      <c r="C26" s="31">
        <v>137.0889821</v>
      </c>
      <c r="D26" s="31">
        <v>151.5571988</v>
      </c>
      <c r="E26" s="31">
        <v>162.4785888</v>
      </c>
      <c r="F26" s="31">
        <v>158.7438838</v>
      </c>
      <c r="G26" s="31">
        <v>173.2727881</v>
      </c>
      <c r="H26" s="31">
        <v>192.81618490000002</v>
      </c>
      <c r="I26" s="31">
        <v>173.8859253</v>
      </c>
      <c r="J26" s="31">
        <v>209.220598</v>
      </c>
      <c r="K26" s="31">
        <v>172.8871765</v>
      </c>
      <c r="L26" s="31">
        <v>145.64079379999998</v>
      </c>
      <c r="M26" s="31">
        <v>178.3506874</v>
      </c>
      <c r="N26" s="25">
        <f t="shared" ref="N26:N36" si="5">SUM(B26:M26)</f>
        <v>1975.737109</v>
      </c>
    </row>
    <row r="27" ht="15.75" customHeight="1">
      <c r="A27" s="61" t="s">
        <v>81</v>
      </c>
      <c r="B27" s="31">
        <v>4192.192209983777</v>
      </c>
      <c r="C27" s="31">
        <v>5836.464384317178</v>
      </c>
      <c r="D27" s="31">
        <v>5930.768767053055</v>
      </c>
      <c r="E27" s="31">
        <v>5225.796466767466</v>
      </c>
      <c r="F27" s="31">
        <v>4276.538829103614</v>
      </c>
      <c r="G27" s="31">
        <v>6355.688987340834</v>
      </c>
      <c r="H27" s="31">
        <v>6397.896248697012</v>
      </c>
      <c r="I27" s="31">
        <v>4683.24503870945</v>
      </c>
      <c r="J27" s="31">
        <v>3971.70440022712</v>
      </c>
      <c r="K27" s="31">
        <v>4013.47458991648</v>
      </c>
      <c r="L27" s="31">
        <v>4057.900510317</v>
      </c>
      <c r="M27" s="31">
        <v>5477.138601873672</v>
      </c>
      <c r="N27" s="25">
        <f t="shared" si="5"/>
        <v>60418.80903</v>
      </c>
    </row>
    <row r="28" ht="15.75" customHeight="1">
      <c r="A28" s="31" t="s">
        <v>82</v>
      </c>
      <c r="B28" s="31">
        <v>2063.5679421593745</v>
      </c>
      <c r="C28" s="31">
        <v>2427.2590552090132</v>
      </c>
      <c r="D28" s="31">
        <v>2767.753567152717</v>
      </c>
      <c r="E28" s="31">
        <v>2777.4232129734664</v>
      </c>
      <c r="F28" s="31">
        <v>3059.525593933997</v>
      </c>
      <c r="G28" s="31">
        <v>3720.6767414184087</v>
      </c>
      <c r="H28" s="31">
        <v>2771.823105086124</v>
      </c>
      <c r="I28" s="31">
        <v>2538.2831196302764</v>
      </c>
      <c r="J28" s="31">
        <v>2010.6125314238452</v>
      </c>
      <c r="K28" s="31">
        <v>1489.9123230261084</v>
      </c>
      <c r="L28" s="31">
        <v>1535.6897872087177</v>
      </c>
      <c r="M28" s="31">
        <v>1730.5941543638662</v>
      </c>
      <c r="N28" s="25">
        <f t="shared" si="5"/>
        <v>28893.12113</v>
      </c>
    </row>
    <row r="29" ht="15.75" customHeight="1">
      <c r="A29" s="31" t="s">
        <v>83</v>
      </c>
      <c r="B29" s="31">
        <v>2153.547118851</v>
      </c>
      <c r="C29" s="31">
        <v>2595.3934686848997</v>
      </c>
      <c r="D29" s="31">
        <v>3420.200119336149</v>
      </c>
      <c r="E29" s="31">
        <v>3089.6859802801464</v>
      </c>
      <c r="F29" s="31">
        <v>2914.012744940213</v>
      </c>
      <c r="G29" s="31">
        <v>3348.2525455744335</v>
      </c>
      <c r="H29" s="31">
        <v>3274.5212726969276</v>
      </c>
      <c r="I29" s="31">
        <v>2923.2247727200634</v>
      </c>
      <c r="J29" s="31">
        <v>2537.26097862596</v>
      </c>
      <c r="K29" s="31">
        <v>2399.6221852281833</v>
      </c>
      <c r="L29" s="31">
        <v>2118.4888799465</v>
      </c>
      <c r="M29" s="31">
        <v>3255.7852089910302</v>
      </c>
      <c r="N29" s="25">
        <f t="shared" si="5"/>
        <v>34029.99528</v>
      </c>
    </row>
    <row r="30" ht="15.75" customHeight="1">
      <c r="A30" s="61" t="s">
        <v>35</v>
      </c>
      <c r="B30" s="31">
        <v>6.0975412</v>
      </c>
      <c r="C30" s="31">
        <v>8.7787065</v>
      </c>
      <c r="D30" s="31">
        <v>9.3953493</v>
      </c>
      <c r="E30" s="31">
        <v>8.2056697</v>
      </c>
      <c r="F30" s="31">
        <v>9.4184028</v>
      </c>
      <c r="G30" s="31">
        <v>7.9145972</v>
      </c>
      <c r="H30" s="31">
        <v>10.0312564</v>
      </c>
      <c r="I30" s="31">
        <v>8.4089086</v>
      </c>
      <c r="J30" s="31">
        <v>7.70049</v>
      </c>
      <c r="K30" s="31">
        <v>6.9460234</v>
      </c>
      <c r="L30" s="31">
        <v>7.1694645</v>
      </c>
      <c r="M30" s="31">
        <v>7.5735677</v>
      </c>
      <c r="N30" s="25">
        <f t="shared" si="5"/>
        <v>97.6399773</v>
      </c>
    </row>
    <row r="31" ht="15.75" customHeight="1">
      <c r="A31" s="31" t="s">
        <v>36</v>
      </c>
      <c r="B31" s="31">
        <v>6433.996468471623</v>
      </c>
      <c r="C31" s="31">
        <v>8960.374855866976</v>
      </c>
      <c r="D31" s="31">
        <v>10802.442077544041</v>
      </c>
      <c r="E31" s="31">
        <v>10941.490300839683</v>
      </c>
      <c r="F31" s="31">
        <v>12955.968069218432</v>
      </c>
      <c r="G31" s="31">
        <v>14046.101001239786</v>
      </c>
      <c r="H31" s="31">
        <v>14534.118829628345</v>
      </c>
      <c r="I31" s="31">
        <v>10435.9239360284</v>
      </c>
      <c r="J31" s="31">
        <v>8446.627537095945</v>
      </c>
      <c r="K31" s="31">
        <v>6941.02317351768</v>
      </c>
      <c r="L31" s="31">
        <v>7924.022774583944</v>
      </c>
      <c r="M31" s="31">
        <v>11096.535501257555</v>
      </c>
      <c r="N31" s="25">
        <f t="shared" si="5"/>
        <v>123518.6245</v>
      </c>
    </row>
    <row r="32" ht="15.75" customHeight="1">
      <c r="A32" s="31" t="s">
        <v>46</v>
      </c>
      <c r="B32" s="31">
        <v>0.0</v>
      </c>
      <c r="C32" s="31">
        <v>0.0</v>
      </c>
      <c r="D32" s="31">
        <v>0.0</v>
      </c>
      <c r="E32" s="31">
        <v>0.0</v>
      </c>
      <c r="F32" s="31">
        <v>0.0</v>
      </c>
      <c r="G32" s="31">
        <v>0.0</v>
      </c>
      <c r="H32" s="31">
        <v>131.6361</v>
      </c>
      <c r="I32" s="31">
        <v>232.19735</v>
      </c>
      <c r="J32" s="31">
        <v>0.0</v>
      </c>
      <c r="K32" s="31">
        <v>0.0</v>
      </c>
      <c r="L32" s="31">
        <v>0.0</v>
      </c>
      <c r="M32" s="31">
        <v>0.0</v>
      </c>
      <c r="N32" s="25">
        <f t="shared" si="5"/>
        <v>363.83345</v>
      </c>
    </row>
    <row r="33" ht="15.75" customHeight="1">
      <c r="A33" s="31" t="s">
        <v>47</v>
      </c>
      <c r="B33" s="31">
        <v>2.88</v>
      </c>
      <c r="C33" s="31">
        <v>5.56</v>
      </c>
      <c r="D33" s="31">
        <v>8.86</v>
      </c>
      <c r="E33" s="31">
        <v>7.22</v>
      </c>
      <c r="F33" s="31">
        <v>9.46</v>
      </c>
      <c r="G33" s="31">
        <v>10.92</v>
      </c>
      <c r="H33" s="31">
        <v>6.42</v>
      </c>
      <c r="I33" s="31">
        <v>8.85</v>
      </c>
      <c r="J33" s="31">
        <v>10.54</v>
      </c>
      <c r="K33" s="31">
        <v>8.37</v>
      </c>
      <c r="L33" s="31">
        <v>8.41</v>
      </c>
      <c r="M33" s="31">
        <v>18.509999999999998</v>
      </c>
      <c r="N33" s="25">
        <f t="shared" si="5"/>
        <v>106</v>
      </c>
    </row>
    <row r="34" ht="15.75" customHeight="1">
      <c r="A34" s="31" t="s">
        <v>38</v>
      </c>
      <c r="B34" s="31">
        <v>40.426410499999996</v>
      </c>
      <c r="C34" s="31">
        <v>98.2453353</v>
      </c>
      <c r="D34" s="31">
        <v>218.73405309999998</v>
      </c>
      <c r="E34" s="31">
        <v>583.6946052616</v>
      </c>
      <c r="F34" s="31">
        <v>1029.858949257</v>
      </c>
      <c r="G34" s="31">
        <v>1032.962150208</v>
      </c>
      <c r="H34" s="31">
        <v>1124.74846587748</v>
      </c>
      <c r="I34" s="31">
        <v>242.61502419999994</v>
      </c>
      <c r="J34" s="31">
        <v>993.8029286240039</v>
      </c>
      <c r="K34" s="31">
        <v>681.2449377343552</v>
      </c>
      <c r="L34" s="31">
        <v>217.2263388</v>
      </c>
      <c r="M34" s="31">
        <v>273.54807255400004</v>
      </c>
      <c r="N34" s="25">
        <f t="shared" si="5"/>
        <v>6537.107271</v>
      </c>
    </row>
    <row r="35" ht="15.75" customHeight="1">
      <c r="A35" s="31" t="s">
        <v>39</v>
      </c>
      <c r="B35" s="31">
        <v>0.0</v>
      </c>
      <c r="C35" s="31">
        <v>1.1405297</v>
      </c>
      <c r="D35" s="31">
        <v>9.2947649</v>
      </c>
      <c r="E35" s="31">
        <v>0.0</v>
      </c>
      <c r="F35" s="31">
        <v>6.515428</v>
      </c>
      <c r="G35" s="31">
        <v>15.9212971</v>
      </c>
      <c r="H35" s="31">
        <v>7.4231193</v>
      </c>
      <c r="I35" s="31">
        <v>0.3021494</v>
      </c>
      <c r="J35" s="31">
        <v>14.5175753</v>
      </c>
      <c r="K35" s="31">
        <v>0.0</v>
      </c>
      <c r="L35" s="31">
        <v>15.3048512</v>
      </c>
      <c r="M35" s="31">
        <v>1.3777244</v>
      </c>
      <c r="N35" s="25">
        <f t="shared" si="5"/>
        <v>71.7974393</v>
      </c>
    </row>
    <row r="36" ht="15.75" customHeight="1">
      <c r="A36" s="31" t="s">
        <v>85</v>
      </c>
      <c r="B36" s="31">
        <v>1012.8220009884817</v>
      </c>
      <c r="C36" s="31">
        <v>1025.3972695246682</v>
      </c>
      <c r="D36" s="31">
        <v>786.4053009338174</v>
      </c>
      <c r="E36" s="31">
        <v>1097.3939334136774</v>
      </c>
      <c r="F36" s="31">
        <v>1067.952484363</v>
      </c>
      <c r="G36" s="31">
        <v>999.0369604003049</v>
      </c>
      <c r="H36" s="31">
        <v>1137.8397089399998</v>
      </c>
      <c r="I36" s="31">
        <v>996.1793439127</v>
      </c>
      <c r="J36" s="31">
        <v>745.1886680580001</v>
      </c>
      <c r="K36" s="31">
        <v>966.3404917990001</v>
      </c>
      <c r="L36" s="31">
        <v>831.789280689</v>
      </c>
      <c r="M36" s="31">
        <v>1017.513739466</v>
      </c>
      <c r="N36" s="25">
        <f t="shared" si="5"/>
        <v>11683.85918</v>
      </c>
    </row>
    <row r="37" ht="15.75" customHeight="1">
      <c r="A37" s="65" t="s">
        <v>86</v>
      </c>
      <c r="B37" s="63">
        <f t="shared" ref="B37:N37" si="6">SUM(B26:B36)</f>
        <v>16025.32399</v>
      </c>
      <c r="C37" s="63">
        <f t="shared" si="6"/>
        <v>21095.70259</v>
      </c>
      <c r="D37" s="63">
        <f t="shared" si="6"/>
        <v>24105.4112</v>
      </c>
      <c r="E37" s="63">
        <f t="shared" si="6"/>
        <v>23893.38876</v>
      </c>
      <c r="F37" s="63">
        <f t="shared" si="6"/>
        <v>25487.99439</v>
      </c>
      <c r="G37" s="63">
        <f t="shared" si="6"/>
        <v>29710.74707</v>
      </c>
      <c r="H37" s="63">
        <f t="shared" si="6"/>
        <v>29589.27429</v>
      </c>
      <c r="I37" s="63">
        <f t="shared" si="6"/>
        <v>22243.11557</v>
      </c>
      <c r="J37" s="63">
        <f t="shared" si="6"/>
        <v>18947.17571</v>
      </c>
      <c r="K37" s="63">
        <f t="shared" si="6"/>
        <v>16679.8209</v>
      </c>
      <c r="L37" s="63">
        <f t="shared" si="6"/>
        <v>16861.64268</v>
      </c>
      <c r="M37" s="63">
        <f t="shared" si="6"/>
        <v>23056.92726</v>
      </c>
      <c r="N37" s="63">
        <f t="shared" si="6"/>
        <v>267696.5244</v>
      </c>
    </row>
    <row r="38" ht="15.75" customHeight="1">
      <c r="A38" s="64" t="s">
        <v>50</v>
      </c>
      <c r="B38" s="63">
        <f t="shared" ref="B38:N38" si="7">+B24-B37</f>
        <v>47120.31144</v>
      </c>
      <c r="C38" s="63">
        <f t="shared" si="7"/>
        <v>56547.43194</v>
      </c>
      <c r="D38" s="63">
        <f t="shared" si="7"/>
        <v>55465.10753</v>
      </c>
      <c r="E38" s="63">
        <f t="shared" si="7"/>
        <v>56586.30604</v>
      </c>
      <c r="F38" s="63">
        <f t="shared" si="7"/>
        <v>53815.17998</v>
      </c>
      <c r="G38" s="63">
        <f t="shared" si="7"/>
        <v>50502.66556</v>
      </c>
      <c r="H38" s="63">
        <f t="shared" si="7"/>
        <v>65496.93942</v>
      </c>
      <c r="I38" s="63">
        <f t="shared" si="7"/>
        <v>46071.95092</v>
      </c>
      <c r="J38" s="63">
        <f t="shared" si="7"/>
        <v>50063.60745</v>
      </c>
      <c r="K38" s="63">
        <f t="shared" si="7"/>
        <v>50069.72551</v>
      </c>
      <c r="L38" s="63">
        <f t="shared" si="7"/>
        <v>47302.31323</v>
      </c>
      <c r="M38" s="63">
        <f t="shared" si="7"/>
        <v>50110.22386</v>
      </c>
      <c r="N38" s="63">
        <f t="shared" si="7"/>
        <v>629151.7629</v>
      </c>
    </row>
    <row r="39" ht="15.0" customHeight="1">
      <c r="A39" s="68" t="s">
        <v>92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ht="15.75" customHeight="1">
      <c r="A40" s="44" t="s">
        <v>53</v>
      </c>
      <c r="B40" s="45"/>
      <c r="C40" s="45"/>
      <c r="D40" s="45"/>
      <c r="E40" s="45"/>
      <c r="F40" s="45"/>
      <c r="G40" s="69"/>
      <c r="H40" s="69"/>
      <c r="I40" s="69"/>
      <c r="J40" s="69"/>
      <c r="K40" s="69"/>
      <c r="L40" s="69"/>
      <c r="M40" s="69"/>
      <c r="N40" s="45"/>
    </row>
    <row r="41" ht="15.75" customHeight="1">
      <c r="A41" s="47" t="s">
        <v>54</v>
      </c>
      <c r="B41" s="45"/>
      <c r="C41" s="45"/>
      <c r="D41" s="45"/>
      <c r="E41" s="45"/>
      <c r="F41" s="45"/>
      <c r="G41" s="69"/>
      <c r="H41" s="69"/>
      <c r="I41" s="69"/>
      <c r="J41" s="69"/>
      <c r="K41" s="69"/>
      <c r="L41" s="69"/>
      <c r="M41" s="69"/>
      <c r="N41" s="45"/>
    </row>
    <row r="42" ht="15.75" customHeight="1">
      <c r="A42" s="47" t="s">
        <v>55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69"/>
    </row>
    <row r="43" ht="15.75" customHeight="1">
      <c r="A43" s="47" t="s">
        <v>56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51"/>
    </row>
    <row r="44" ht="15.75" customHeight="1">
      <c r="A44" s="47" t="s">
        <v>57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51"/>
    </row>
    <row r="45" ht="15.75" customHeight="1">
      <c r="A45" s="47" t="s">
        <v>58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1"/>
    </row>
    <row r="46" ht="15.75" customHeight="1">
      <c r="A46" s="47" t="s">
        <v>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1"/>
    </row>
    <row r="47" ht="15.75" customHeight="1">
      <c r="A47" s="47" t="s">
        <v>60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5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7:N7"/>
    <mergeCell ref="A8:N8"/>
    <mergeCell ref="A39:N39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2" width="8.71"/>
    <col customWidth="1" min="3" max="3" width="28.0"/>
    <col customWidth="1" min="4" max="16" width="17.57"/>
    <col customWidth="1" min="17" max="18" width="9.14"/>
    <col customWidth="1" min="19" max="19" width="12.43"/>
    <col customWidth="1" min="20" max="20" width="12.0"/>
    <col customWidth="1" min="21" max="21" width="13.0"/>
    <col customWidth="1" min="22" max="36" width="9.14"/>
  </cols>
  <sheetData>
    <row r="1" ht="12.75" customHeight="1">
      <c r="A1" s="51"/>
      <c r="B1" s="51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</row>
    <row r="2" ht="12.75" customHeight="1">
      <c r="A2" s="51"/>
      <c r="B2" s="51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</row>
    <row r="3" ht="12.75" customHeight="1">
      <c r="A3" s="51"/>
      <c r="B3" s="51"/>
      <c r="C3" s="4"/>
      <c r="D3" s="51"/>
      <c r="E3" s="51"/>
      <c r="F3" s="51"/>
      <c r="G3" s="3" t="s">
        <v>0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</row>
    <row r="4" ht="12.75" customHeight="1">
      <c r="A4" s="51"/>
      <c r="B4" s="51"/>
      <c r="C4" s="4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</row>
    <row r="5" ht="12.75" customHeight="1">
      <c r="A5" s="51"/>
      <c r="B5" s="51"/>
      <c r="C5" s="52" t="s">
        <v>93</v>
      </c>
      <c r="D5" s="5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</row>
    <row r="6" ht="12.75" customHeight="1">
      <c r="A6" s="51"/>
      <c r="B6" s="51"/>
      <c r="C6" s="71" t="s">
        <v>94</v>
      </c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</row>
    <row r="7" ht="12.75" customHeight="1">
      <c r="A7" s="51"/>
      <c r="B7" s="51"/>
      <c r="C7" s="55" t="s">
        <v>3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7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</row>
    <row r="8" ht="12.75" customHeight="1">
      <c r="A8" s="72"/>
      <c r="B8" s="72"/>
      <c r="C8" s="58" t="s">
        <v>4</v>
      </c>
      <c r="D8" s="59" t="s">
        <v>62</v>
      </c>
      <c r="E8" s="59" t="s">
        <v>63</v>
      </c>
      <c r="F8" s="59" t="s">
        <v>64</v>
      </c>
      <c r="G8" s="59" t="s">
        <v>65</v>
      </c>
      <c r="H8" s="59" t="s">
        <v>66</v>
      </c>
      <c r="I8" s="59" t="s">
        <v>67</v>
      </c>
      <c r="J8" s="59" t="s">
        <v>68</v>
      </c>
      <c r="K8" s="59" t="s">
        <v>69</v>
      </c>
      <c r="L8" s="59" t="s">
        <v>70</v>
      </c>
      <c r="M8" s="59" t="s">
        <v>71</v>
      </c>
      <c r="N8" s="59" t="s">
        <v>72</v>
      </c>
      <c r="O8" s="59" t="s">
        <v>73</v>
      </c>
      <c r="P8" s="59" t="s">
        <v>74</v>
      </c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</row>
    <row r="9" ht="12.75" customHeight="1">
      <c r="A9" s="73"/>
      <c r="B9" s="73"/>
      <c r="C9" s="18" t="s">
        <v>28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74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</row>
    <row r="10" ht="12.75" customHeight="1">
      <c r="A10" s="73"/>
      <c r="B10" s="73"/>
      <c r="C10" s="22" t="s">
        <v>75</v>
      </c>
      <c r="D10" s="31">
        <v>43210.210727792815</v>
      </c>
      <c r="E10" s="31">
        <v>40654.2376513245</v>
      </c>
      <c r="F10" s="31">
        <v>37459.89302237384</v>
      </c>
      <c r="G10" s="31">
        <v>37276.69240371288</v>
      </c>
      <c r="H10" s="31">
        <v>41046.64755301569</v>
      </c>
      <c r="I10" s="31">
        <v>42201.24081221818</v>
      </c>
      <c r="J10" s="31">
        <v>48763.2416347775</v>
      </c>
      <c r="K10" s="31">
        <v>52708.9903838357</v>
      </c>
      <c r="L10" s="31">
        <v>54759.74598941037</v>
      </c>
      <c r="M10" s="31">
        <v>61776.80292332542</v>
      </c>
      <c r="N10" s="31">
        <v>52197.99183973133</v>
      </c>
      <c r="O10" s="31">
        <v>54394.45312589576</v>
      </c>
      <c r="P10" s="25">
        <f>SUM(D10:O10)</f>
        <v>566450.1481</v>
      </c>
      <c r="Q10" s="75"/>
      <c r="R10" s="76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</row>
    <row r="11" ht="12.75" customHeight="1">
      <c r="A11" s="51"/>
      <c r="B11" s="51"/>
      <c r="C11" s="22" t="s">
        <v>76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25"/>
      <c r="Q11" s="51"/>
      <c r="R11" s="76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</row>
    <row r="12" ht="12.75" customHeight="1">
      <c r="A12" s="51"/>
      <c r="B12" s="51"/>
      <c r="C12" s="31" t="s">
        <v>31</v>
      </c>
      <c r="D12" s="31">
        <v>2853.1998169367093</v>
      </c>
      <c r="E12" s="31">
        <v>2039.8628121396832</v>
      </c>
      <c r="F12" s="31">
        <v>1634.1870941806726</v>
      </c>
      <c r="G12" s="31">
        <v>2272.873253686556</v>
      </c>
      <c r="H12" s="31">
        <v>3256.0525913591</v>
      </c>
      <c r="I12" s="31">
        <v>2865.733894098832</v>
      </c>
      <c r="J12" s="31">
        <v>4661.728931885924</v>
      </c>
      <c r="K12" s="31">
        <v>4749.408114889397</v>
      </c>
      <c r="L12" s="31">
        <v>4368.527228636787</v>
      </c>
      <c r="M12" s="31">
        <v>3735.548886911766</v>
      </c>
      <c r="N12" s="31">
        <v>2501.0254663761334</v>
      </c>
      <c r="O12" s="31">
        <v>2937.049068543723</v>
      </c>
      <c r="P12" s="25">
        <f t="shared" ref="P12:P21" si="1">SUM(D12:O12)</f>
        <v>37875.19716</v>
      </c>
      <c r="Q12" s="51"/>
      <c r="R12" s="76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</row>
    <row r="13" ht="12.75" customHeight="1">
      <c r="A13" s="51"/>
      <c r="B13" s="51"/>
      <c r="C13" s="61" t="s">
        <v>32</v>
      </c>
      <c r="D13" s="31">
        <v>0.0</v>
      </c>
      <c r="E13" s="31">
        <v>0.0</v>
      </c>
      <c r="F13" s="31">
        <v>116.921544832</v>
      </c>
      <c r="G13" s="31">
        <v>464.57654033533504</v>
      </c>
      <c r="H13" s="31">
        <v>0.0</v>
      </c>
      <c r="I13" s="31">
        <v>0.0</v>
      </c>
      <c r="J13" s="31">
        <v>0.0</v>
      </c>
      <c r="K13" s="31">
        <v>0.0</v>
      </c>
      <c r="L13" s="31">
        <v>0.0</v>
      </c>
      <c r="M13" s="31">
        <v>0.0</v>
      </c>
      <c r="N13" s="31">
        <v>0.0</v>
      </c>
      <c r="O13" s="31">
        <v>0.0</v>
      </c>
      <c r="P13" s="25">
        <f t="shared" si="1"/>
        <v>581.4980852</v>
      </c>
      <c r="Q13" s="51"/>
      <c r="R13" s="76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</row>
    <row r="14" ht="12.75" customHeight="1">
      <c r="A14" s="51"/>
      <c r="B14" s="51"/>
      <c r="C14" s="31" t="s">
        <v>33</v>
      </c>
      <c r="D14" s="31">
        <v>269.54218057720425</v>
      </c>
      <c r="E14" s="31">
        <v>327.7443443447315</v>
      </c>
      <c r="F14" s="31">
        <v>228.4972804919405</v>
      </c>
      <c r="G14" s="31">
        <v>501.5680853</v>
      </c>
      <c r="H14" s="31">
        <v>605.8600788790745</v>
      </c>
      <c r="I14" s="31">
        <v>605.8745750564759</v>
      </c>
      <c r="J14" s="31">
        <v>821.974618710393</v>
      </c>
      <c r="K14" s="31">
        <v>431.424103344132</v>
      </c>
      <c r="L14" s="31">
        <v>745.4474650808609</v>
      </c>
      <c r="M14" s="31">
        <v>1484.1951178899349</v>
      </c>
      <c r="N14" s="31">
        <v>1179.5432412623009</v>
      </c>
      <c r="O14" s="31">
        <v>959.5414035537325</v>
      </c>
      <c r="P14" s="25">
        <f t="shared" si="1"/>
        <v>8161.212494</v>
      </c>
      <c r="Q14" s="51"/>
      <c r="R14" s="76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</row>
    <row r="15" ht="12.75" customHeight="1">
      <c r="A15" s="51"/>
      <c r="B15" s="51"/>
      <c r="C15" s="31" t="s">
        <v>34</v>
      </c>
      <c r="D15" s="31">
        <v>104.7955983</v>
      </c>
      <c r="E15" s="31">
        <v>85.5072176</v>
      </c>
      <c r="F15" s="31">
        <v>89.0355028</v>
      </c>
      <c r="G15" s="31">
        <v>74.8664208</v>
      </c>
      <c r="H15" s="31">
        <v>86.518391</v>
      </c>
      <c r="I15" s="31">
        <v>91.5942272</v>
      </c>
      <c r="J15" s="31">
        <v>102.3436244</v>
      </c>
      <c r="K15" s="31">
        <v>139.7606754</v>
      </c>
      <c r="L15" s="31">
        <v>53.2427194</v>
      </c>
      <c r="M15" s="31">
        <v>146.1937935</v>
      </c>
      <c r="N15" s="31">
        <v>54.5395772</v>
      </c>
      <c r="O15" s="31">
        <v>130.9144051</v>
      </c>
      <c r="P15" s="25">
        <f t="shared" si="1"/>
        <v>1159.312153</v>
      </c>
      <c r="Q15" s="51"/>
      <c r="R15" s="76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</row>
    <row r="16" ht="12.75" customHeight="1">
      <c r="A16" s="51"/>
      <c r="B16" s="51"/>
      <c r="C16" s="61" t="s">
        <v>35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31">
        <v>0.0</v>
      </c>
      <c r="O16" s="31">
        <v>0.0</v>
      </c>
      <c r="P16" s="25">
        <f t="shared" si="1"/>
        <v>0</v>
      </c>
      <c r="Q16" s="51"/>
      <c r="R16" s="76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</row>
    <row r="17" ht="12.75" customHeight="1">
      <c r="A17" s="51"/>
      <c r="B17" s="51"/>
      <c r="C17" s="31" t="s">
        <v>36</v>
      </c>
      <c r="D17" s="31">
        <v>59.1742785</v>
      </c>
      <c r="E17" s="31">
        <v>1393.9208890624031</v>
      </c>
      <c r="F17" s="31">
        <v>1342.555703318383</v>
      </c>
      <c r="G17" s="31">
        <v>951.2955912304966</v>
      </c>
      <c r="H17" s="31">
        <v>36.9065235</v>
      </c>
      <c r="I17" s="31">
        <v>5.674142</v>
      </c>
      <c r="J17" s="31">
        <v>12.8580368</v>
      </c>
      <c r="K17" s="31">
        <v>62.5396332</v>
      </c>
      <c r="L17" s="31">
        <v>28.8399181</v>
      </c>
      <c r="M17" s="31">
        <v>44.5058488</v>
      </c>
      <c r="N17" s="31">
        <v>31.6153614</v>
      </c>
      <c r="O17" s="31">
        <v>298.8712475</v>
      </c>
      <c r="P17" s="25">
        <f t="shared" si="1"/>
        <v>4268.757173</v>
      </c>
      <c r="Q17" s="51"/>
      <c r="R17" s="76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</row>
    <row r="18" ht="12.75" customHeight="1">
      <c r="A18" s="51"/>
      <c r="B18" s="51"/>
      <c r="C18" s="31" t="s">
        <v>37</v>
      </c>
      <c r="D18" s="31">
        <v>919.9144323</v>
      </c>
      <c r="E18" s="31">
        <v>847.0606541</v>
      </c>
      <c r="F18" s="31">
        <v>902.5767732</v>
      </c>
      <c r="G18" s="31">
        <v>805.7181532</v>
      </c>
      <c r="H18" s="31">
        <v>630.8044114</v>
      </c>
      <c r="I18" s="31">
        <v>885.7335935</v>
      </c>
      <c r="J18" s="31">
        <v>1006.7066345</v>
      </c>
      <c r="K18" s="31">
        <v>1033.970989</v>
      </c>
      <c r="L18" s="31">
        <v>1045.2783442</v>
      </c>
      <c r="M18" s="31">
        <v>1178.2382807</v>
      </c>
      <c r="N18" s="31">
        <v>1510.2760487</v>
      </c>
      <c r="O18" s="31">
        <v>1308.3615839</v>
      </c>
      <c r="P18" s="25">
        <f t="shared" si="1"/>
        <v>12074.6399</v>
      </c>
      <c r="Q18" s="51"/>
      <c r="R18" s="76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</row>
    <row r="19" ht="12.75" customHeight="1">
      <c r="A19" s="51"/>
      <c r="B19" s="51"/>
      <c r="C19" s="31" t="s">
        <v>38</v>
      </c>
      <c r="D19" s="31">
        <v>197.39466271238675</v>
      </c>
      <c r="E19" s="31">
        <v>359.31262905957357</v>
      </c>
      <c r="F19" s="31">
        <v>112.5548809872222</v>
      </c>
      <c r="G19" s="31">
        <v>211.740617808114</v>
      </c>
      <c r="H19" s="31">
        <v>94.7656709</v>
      </c>
      <c r="I19" s="31">
        <v>140.76355366227932</v>
      </c>
      <c r="J19" s="31">
        <v>323.413023265776</v>
      </c>
      <c r="K19" s="31">
        <v>267.766277274355</v>
      </c>
      <c r="L19" s="31">
        <v>176.62736695412792</v>
      </c>
      <c r="M19" s="31">
        <v>303.9372491883279</v>
      </c>
      <c r="N19" s="31">
        <v>432.344646381968</v>
      </c>
      <c r="O19" s="31">
        <v>610.8337947015469</v>
      </c>
      <c r="P19" s="25">
        <f t="shared" si="1"/>
        <v>3231.454373</v>
      </c>
      <c r="Q19" s="51"/>
      <c r="R19" s="76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</row>
    <row r="20" ht="12.75" customHeight="1">
      <c r="A20" s="51"/>
      <c r="B20" s="51"/>
      <c r="C20" s="31" t="s">
        <v>39</v>
      </c>
      <c r="D20" s="31">
        <v>146.1313139</v>
      </c>
      <c r="E20" s="31">
        <v>229.0895249</v>
      </c>
      <c r="F20" s="31">
        <v>75.8341588</v>
      </c>
      <c r="G20" s="31">
        <v>44.5840665</v>
      </c>
      <c r="H20" s="31">
        <v>88.9427242</v>
      </c>
      <c r="I20" s="31">
        <v>105.7982273</v>
      </c>
      <c r="J20" s="31">
        <v>117.8225118</v>
      </c>
      <c r="K20" s="31">
        <v>135.8176676</v>
      </c>
      <c r="L20" s="31">
        <v>228.972513</v>
      </c>
      <c r="M20" s="31">
        <v>199.5937136</v>
      </c>
      <c r="N20" s="31">
        <v>275.4485348</v>
      </c>
      <c r="O20" s="31">
        <v>254.2391135</v>
      </c>
      <c r="P20" s="25">
        <f t="shared" si="1"/>
        <v>1902.27407</v>
      </c>
      <c r="Q20" s="51"/>
      <c r="R20" s="76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</row>
    <row r="21" ht="12.75" customHeight="1">
      <c r="A21" s="51"/>
      <c r="B21" s="51"/>
      <c r="C21" s="31" t="s">
        <v>95</v>
      </c>
      <c r="D21" s="31">
        <v>1280.761898101384</v>
      </c>
      <c r="E21" s="31">
        <v>1389.6901774729772</v>
      </c>
      <c r="F21" s="31">
        <v>1602.261482571669</v>
      </c>
      <c r="G21" s="31">
        <v>1721.7268845546137</v>
      </c>
      <c r="H21" s="31">
        <v>1874.3047753617686</v>
      </c>
      <c r="I21" s="31">
        <v>934.174830872064</v>
      </c>
      <c r="J21" s="31">
        <v>1773.1594075916519</v>
      </c>
      <c r="K21" s="31">
        <v>1124.718051428908</v>
      </c>
      <c r="L21" s="31">
        <v>2124.053399000741</v>
      </c>
      <c r="M21" s="31">
        <v>1828.3838745998387</v>
      </c>
      <c r="N21" s="31">
        <v>1273.0730624976813</v>
      </c>
      <c r="O21" s="31">
        <v>2193.2654116568974</v>
      </c>
      <c r="P21" s="25">
        <f t="shared" si="1"/>
        <v>19119.57326</v>
      </c>
      <c r="Q21" s="51"/>
      <c r="R21" s="76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</row>
    <row r="22" ht="12.75" customHeight="1">
      <c r="A22" s="51"/>
      <c r="B22" s="51"/>
      <c r="C22" s="62" t="s">
        <v>79</v>
      </c>
      <c r="D22" s="63">
        <f t="shared" ref="D22:P22" si="2">SUM(D12:D21)</f>
        <v>5830.914181</v>
      </c>
      <c r="E22" s="63">
        <f t="shared" si="2"/>
        <v>6672.188249</v>
      </c>
      <c r="F22" s="63">
        <f t="shared" si="2"/>
        <v>6104.424421</v>
      </c>
      <c r="G22" s="63">
        <f t="shared" si="2"/>
        <v>7048.949613</v>
      </c>
      <c r="H22" s="63">
        <f t="shared" si="2"/>
        <v>6674.155167</v>
      </c>
      <c r="I22" s="63">
        <f t="shared" si="2"/>
        <v>5635.347044</v>
      </c>
      <c r="J22" s="63">
        <f t="shared" si="2"/>
        <v>8820.006789</v>
      </c>
      <c r="K22" s="63">
        <f t="shared" si="2"/>
        <v>7945.405512</v>
      </c>
      <c r="L22" s="63">
        <f t="shared" si="2"/>
        <v>8770.988954</v>
      </c>
      <c r="M22" s="63">
        <f t="shared" si="2"/>
        <v>8920.596765</v>
      </c>
      <c r="N22" s="63">
        <f t="shared" si="2"/>
        <v>7257.865939</v>
      </c>
      <c r="O22" s="63">
        <f t="shared" si="2"/>
        <v>8693.076028</v>
      </c>
      <c r="P22" s="63">
        <f t="shared" si="2"/>
        <v>88373.91866</v>
      </c>
      <c r="Q22" s="51"/>
      <c r="R22" s="76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</row>
    <row r="23" ht="12.75" customHeight="1">
      <c r="A23" s="51"/>
      <c r="B23" s="51"/>
      <c r="C23" s="64" t="s">
        <v>80</v>
      </c>
      <c r="D23" s="63">
        <f t="shared" ref="D23:H23" si="3">+D22+D10</f>
        <v>49041.12491</v>
      </c>
      <c r="E23" s="63">
        <f t="shared" si="3"/>
        <v>47326.4259</v>
      </c>
      <c r="F23" s="63">
        <f t="shared" si="3"/>
        <v>43564.31744</v>
      </c>
      <c r="G23" s="63">
        <f t="shared" si="3"/>
        <v>44325.64202</v>
      </c>
      <c r="H23" s="63">
        <f t="shared" si="3"/>
        <v>47720.80272</v>
      </c>
      <c r="I23" s="63">
        <f t="shared" ref="I23:P23" si="4">+I10+I22</f>
        <v>47836.58786</v>
      </c>
      <c r="J23" s="63">
        <f t="shared" si="4"/>
        <v>57583.24842</v>
      </c>
      <c r="K23" s="63">
        <f t="shared" si="4"/>
        <v>60654.3959</v>
      </c>
      <c r="L23" s="63">
        <f t="shared" si="4"/>
        <v>63530.73494</v>
      </c>
      <c r="M23" s="63">
        <f t="shared" si="4"/>
        <v>70697.39969</v>
      </c>
      <c r="N23" s="63">
        <f t="shared" si="4"/>
        <v>59455.85778</v>
      </c>
      <c r="O23" s="63">
        <f t="shared" si="4"/>
        <v>63087.52915</v>
      </c>
      <c r="P23" s="63">
        <f t="shared" si="4"/>
        <v>654824.0667</v>
      </c>
      <c r="Q23" s="51"/>
      <c r="R23" s="76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</row>
    <row r="24" ht="12.75" customHeight="1">
      <c r="A24" s="51"/>
      <c r="B24" s="51"/>
      <c r="C24" s="18" t="s">
        <v>96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25"/>
      <c r="Q24" s="51"/>
      <c r="R24" s="76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</row>
    <row r="25" ht="12.75" customHeight="1">
      <c r="A25" s="51"/>
      <c r="B25" s="51"/>
      <c r="C25" s="31" t="s">
        <v>31</v>
      </c>
      <c r="D25" s="31">
        <v>138.27</v>
      </c>
      <c r="E25" s="31">
        <v>118.37</v>
      </c>
      <c r="F25" s="31">
        <v>95.82</v>
      </c>
      <c r="G25" s="31">
        <v>87.24</v>
      </c>
      <c r="H25" s="31">
        <v>81.12</v>
      </c>
      <c r="I25" s="31">
        <v>112.5</v>
      </c>
      <c r="J25" s="31">
        <v>119.95</v>
      </c>
      <c r="K25" s="31">
        <v>157.55</v>
      </c>
      <c r="L25" s="31">
        <v>150.52</v>
      </c>
      <c r="M25" s="31">
        <v>165.76</v>
      </c>
      <c r="N25" s="31">
        <v>122.69</v>
      </c>
      <c r="O25" s="31">
        <v>151.32</v>
      </c>
      <c r="P25" s="25">
        <f t="shared" ref="P25:P35" si="5">SUM(D25:O25)</f>
        <v>1501.11</v>
      </c>
      <c r="Q25" s="51"/>
      <c r="R25" s="76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</row>
    <row r="26" ht="12.75" customHeight="1">
      <c r="A26" s="51"/>
      <c r="B26" s="51"/>
      <c r="C26" s="61" t="s">
        <v>81</v>
      </c>
      <c r="D26" s="31">
        <v>3972.056359220031</v>
      </c>
      <c r="E26" s="31">
        <v>4977.176432799768</v>
      </c>
      <c r="F26" s="31">
        <v>3772.734364476035</v>
      </c>
      <c r="G26" s="31">
        <v>4346.868161841299</v>
      </c>
      <c r="H26" s="31">
        <v>3925.7037802804057</v>
      </c>
      <c r="I26" s="31">
        <v>4460.3400794085055</v>
      </c>
      <c r="J26" s="31">
        <v>3877.398269556699</v>
      </c>
      <c r="K26" s="31">
        <v>4764.136794493783</v>
      </c>
      <c r="L26" s="31">
        <v>4814.854121058124</v>
      </c>
      <c r="M26" s="31">
        <v>5167.135334699241</v>
      </c>
      <c r="N26" s="31">
        <v>4551.203056726771</v>
      </c>
      <c r="O26" s="31">
        <v>5950.413390624035</v>
      </c>
      <c r="P26" s="25">
        <f t="shared" si="5"/>
        <v>54580.02015</v>
      </c>
      <c r="Q26" s="51"/>
      <c r="R26" s="76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</row>
    <row r="27" ht="12.75" customHeight="1">
      <c r="A27" s="51"/>
      <c r="B27" s="51"/>
      <c r="C27" s="31" t="s">
        <v>82</v>
      </c>
      <c r="D27" s="31">
        <v>2256.4612046733173</v>
      </c>
      <c r="E27" s="31">
        <v>1982.8291040476324</v>
      </c>
      <c r="F27" s="31">
        <v>2005.3653245275336</v>
      </c>
      <c r="G27" s="31">
        <v>2452.0511020428034</v>
      </c>
      <c r="H27" s="31">
        <v>1806.6058701938366</v>
      </c>
      <c r="I27" s="31">
        <v>2022.5978656472557</v>
      </c>
      <c r="J27" s="31">
        <v>2859.0518600622972</v>
      </c>
      <c r="K27" s="31">
        <v>2788.9350848184718</v>
      </c>
      <c r="L27" s="31">
        <v>2476.7407117034672</v>
      </c>
      <c r="M27" s="31">
        <v>2924.4132917847583</v>
      </c>
      <c r="N27" s="31">
        <v>2915.199460756055</v>
      </c>
      <c r="O27" s="31">
        <v>2584.5558232703943</v>
      </c>
      <c r="P27" s="25">
        <f t="shared" si="5"/>
        <v>29074.8067</v>
      </c>
      <c r="Q27" s="51"/>
      <c r="R27" s="76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</row>
    <row r="28" ht="12.75" customHeight="1">
      <c r="A28" s="51"/>
      <c r="B28" s="51"/>
      <c r="C28" s="31" t="s">
        <v>83</v>
      </c>
      <c r="D28" s="31">
        <v>1803.5262805767502</v>
      </c>
      <c r="E28" s="31">
        <v>1493.166066825799</v>
      </c>
      <c r="F28" s="31">
        <v>1653.72884018994</v>
      </c>
      <c r="G28" s="31">
        <v>1614.76659858475</v>
      </c>
      <c r="H28" s="31">
        <v>1795.380272714649</v>
      </c>
      <c r="I28" s="31">
        <v>1958.300815437133</v>
      </c>
      <c r="J28" s="31">
        <v>2261.120036886832</v>
      </c>
      <c r="K28" s="31">
        <v>2099.3460196887586</v>
      </c>
      <c r="L28" s="31">
        <v>2608.550119869725</v>
      </c>
      <c r="M28" s="31">
        <v>2578.59625833066</v>
      </c>
      <c r="N28" s="31">
        <v>2542.421340955252</v>
      </c>
      <c r="O28" s="31">
        <v>2939.051585430763</v>
      </c>
      <c r="P28" s="25">
        <f t="shared" si="5"/>
        <v>25347.95424</v>
      </c>
      <c r="Q28" s="77"/>
      <c r="R28" s="76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</row>
    <row r="29" ht="12.75" customHeight="1">
      <c r="A29" s="51"/>
      <c r="B29" s="51"/>
      <c r="C29" s="61" t="s">
        <v>35</v>
      </c>
      <c r="D29" s="31">
        <v>5.12</v>
      </c>
      <c r="E29" s="31">
        <v>5.66</v>
      </c>
      <c r="F29" s="31">
        <v>6.46</v>
      </c>
      <c r="G29" s="31">
        <v>6.35</v>
      </c>
      <c r="H29" s="31">
        <v>3.61</v>
      </c>
      <c r="I29" s="31">
        <v>5.01</v>
      </c>
      <c r="J29" s="31">
        <v>5.45</v>
      </c>
      <c r="K29" s="31">
        <v>6.45</v>
      </c>
      <c r="L29" s="31">
        <v>5.39</v>
      </c>
      <c r="M29" s="31">
        <v>5.92</v>
      </c>
      <c r="N29" s="31">
        <v>6.0</v>
      </c>
      <c r="O29" s="31">
        <v>6.7</v>
      </c>
      <c r="P29" s="25">
        <f t="shared" si="5"/>
        <v>68.12</v>
      </c>
      <c r="Q29" s="77"/>
      <c r="R29" s="76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</row>
    <row r="30" ht="12.75" customHeight="1">
      <c r="A30" s="51"/>
      <c r="B30" s="51"/>
      <c r="C30" s="31" t="s">
        <v>36</v>
      </c>
      <c r="D30" s="31">
        <v>6931.015196913726</v>
      </c>
      <c r="E30" s="31">
        <v>5826.984030999547</v>
      </c>
      <c r="F30" s="31">
        <v>5673.783843688806</v>
      </c>
      <c r="G30" s="31">
        <v>6241.404478653143</v>
      </c>
      <c r="H30" s="31">
        <v>8398.625086850448</v>
      </c>
      <c r="I30" s="31">
        <v>9956.57118583777</v>
      </c>
      <c r="J30" s="31">
        <v>9884.15995273645</v>
      </c>
      <c r="K30" s="31">
        <v>9269.196155348007</v>
      </c>
      <c r="L30" s="31">
        <v>10500.114899087544</v>
      </c>
      <c r="M30" s="31">
        <v>10392.025104097123</v>
      </c>
      <c r="N30" s="31">
        <v>8620.145648884703</v>
      </c>
      <c r="O30" s="31">
        <v>7760.044911125828</v>
      </c>
      <c r="P30" s="25">
        <f t="shared" si="5"/>
        <v>99454.07049</v>
      </c>
      <c r="Q30" s="51"/>
      <c r="R30" s="76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</row>
    <row r="31" ht="12.75" customHeight="1">
      <c r="A31" s="51"/>
      <c r="B31" s="51"/>
      <c r="C31" s="31" t="s">
        <v>46</v>
      </c>
      <c r="D31" s="31">
        <v>0.0</v>
      </c>
      <c r="E31" s="31">
        <v>8.73063985562354</v>
      </c>
      <c r="F31" s="31">
        <v>0.0</v>
      </c>
      <c r="G31" s="31">
        <v>8.40128208525</v>
      </c>
      <c r="H31" s="31">
        <v>0.0</v>
      </c>
      <c r="I31" s="31">
        <v>0.0</v>
      </c>
      <c r="J31" s="31">
        <v>9.9202082842</v>
      </c>
      <c r="K31" s="31">
        <v>10.432016968100001</v>
      </c>
      <c r="L31" s="31">
        <v>0.0</v>
      </c>
      <c r="M31" s="31">
        <v>0.0</v>
      </c>
      <c r="N31" s="31">
        <v>0.0</v>
      </c>
      <c r="O31" s="31">
        <v>0.0</v>
      </c>
      <c r="P31" s="25">
        <f t="shared" si="5"/>
        <v>37.48414719</v>
      </c>
      <c r="Q31" s="77"/>
      <c r="R31" s="76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</row>
    <row r="32" ht="12.75" customHeight="1">
      <c r="A32" s="51"/>
      <c r="B32" s="51"/>
      <c r="C32" s="31" t="s">
        <v>47</v>
      </c>
      <c r="D32" s="31">
        <v>4.58</v>
      </c>
      <c r="E32" s="31">
        <v>3.07</v>
      </c>
      <c r="F32" s="31">
        <v>8.61</v>
      </c>
      <c r="G32" s="31">
        <v>17.9147259</v>
      </c>
      <c r="H32" s="31">
        <v>20.3915875</v>
      </c>
      <c r="I32" s="31">
        <v>7.260000000000001</v>
      </c>
      <c r="J32" s="31">
        <v>6.54</v>
      </c>
      <c r="K32" s="31">
        <v>8.69</v>
      </c>
      <c r="L32" s="31">
        <v>8.399999999999999</v>
      </c>
      <c r="M32" s="31">
        <v>8.51</v>
      </c>
      <c r="N32" s="31">
        <v>10.129999999999999</v>
      </c>
      <c r="O32" s="31">
        <v>14.260000000000002</v>
      </c>
      <c r="P32" s="25">
        <f t="shared" si="5"/>
        <v>118.3563134</v>
      </c>
      <c r="Q32" s="77"/>
      <c r="R32" s="76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</row>
    <row r="33" ht="12.75" customHeight="1">
      <c r="A33" s="51"/>
      <c r="B33" s="51"/>
      <c r="C33" s="31" t="s">
        <v>38</v>
      </c>
      <c r="D33" s="31">
        <v>215.4901614735</v>
      </c>
      <c r="E33" s="31">
        <v>248.08041779759</v>
      </c>
      <c r="F33" s="31">
        <v>144.29357728403</v>
      </c>
      <c r="G33" s="31">
        <v>707.0833822945</v>
      </c>
      <c r="H33" s="31">
        <v>610.2527607071399</v>
      </c>
      <c r="I33" s="31">
        <v>855.74198145845</v>
      </c>
      <c r="J33" s="31">
        <v>581.7432979799501</v>
      </c>
      <c r="K33" s="31">
        <v>530.63631118385</v>
      </c>
      <c r="L33" s="31">
        <v>196.5370797806</v>
      </c>
      <c r="M33" s="31">
        <v>461.01320696333005</v>
      </c>
      <c r="N33" s="31">
        <v>346.72176249999995</v>
      </c>
      <c r="O33" s="31">
        <v>393.42562724589993</v>
      </c>
      <c r="P33" s="25">
        <f t="shared" si="5"/>
        <v>5291.019567</v>
      </c>
      <c r="Q33" s="77"/>
      <c r="R33" s="76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</row>
    <row r="34" ht="12.75" customHeight="1">
      <c r="A34" s="51"/>
      <c r="B34" s="51"/>
      <c r="C34" s="31" t="s">
        <v>39</v>
      </c>
      <c r="D34" s="31">
        <v>0.0</v>
      </c>
      <c r="E34" s="31">
        <v>5.7844</v>
      </c>
      <c r="F34" s="31">
        <v>4.9246345</v>
      </c>
      <c r="G34" s="31">
        <v>7.027936038</v>
      </c>
      <c r="H34" s="31">
        <v>37.26569480666</v>
      </c>
      <c r="I34" s="31">
        <v>11.630824</v>
      </c>
      <c r="J34" s="31">
        <v>19.913277248099998</v>
      </c>
      <c r="K34" s="31">
        <v>5.2618042</v>
      </c>
      <c r="L34" s="31">
        <v>7.1471747</v>
      </c>
      <c r="M34" s="31">
        <v>7.1271476</v>
      </c>
      <c r="N34" s="31">
        <v>0.0</v>
      </c>
      <c r="O34" s="31">
        <v>12.525887</v>
      </c>
      <c r="P34" s="25">
        <f t="shared" si="5"/>
        <v>118.6087801</v>
      </c>
      <c r="Q34" s="77"/>
      <c r="R34" s="76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</row>
    <row r="35" ht="12.75" customHeight="1">
      <c r="A35" s="51"/>
      <c r="B35" s="51"/>
      <c r="C35" s="31" t="s">
        <v>95</v>
      </c>
      <c r="D35" s="31">
        <v>978.0246857851499</v>
      </c>
      <c r="E35" s="31">
        <v>814.071936007683</v>
      </c>
      <c r="F35" s="31">
        <v>727.8497847654801</v>
      </c>
      <c r="G35" s="31">
        <v>655.9427481316418</v>
      </c>
      <c r="H35" s="31">
        <v>970.717589726657</v>
      </c>
      <c r="I35" s="31">
        <v>882.8529272606847</v>
      </c>
      <c r="J35" s="31">
        <v>763.6706207411999</v>
      </c>
      <c r="K35" s="31">
        <v>902.7669002760991</v>
      </c>
      <c r="L35" s="31">
        <v>764.4356925163</v>
      </c>
      <c r="M35" s="31">
        <v>1084.6254124793077</v>
      </c>
      <c r="N35" s="31">
        <v>612.64723522062</v>
      </c>
      <c r="O35" s="31">
        <v>638.60441914775</v>
      </c>
      <c r="P35" s="25">
        <f t="shared" si="5"/>
        <v>9796.209952</v>
      </c>
      <c r="Q35" s="77"/>
      <c r="R35" s="76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</row>
    <row r="36" ht="12.75" customHeight="1">
      <c r="A36" s="51"/>
      <c r="B36" s="51"/>
      <c r="C36" s="65" t="s">
        <v>86</v>
      </c>
      <c r="D36" s="63">
        <f t="shared" ref="D36:P36" si="6">SUM(D25:D35)</f>
        <v>16304.54389</v>
      </c>
      <c r="E36" s="63">
        <f t="shared" si="6"/>
        <v>15483.92303</v>
      </c>
      <c r="F36" s="63">
        <f t="shared" si="6"/>
        <v>14093.57037</v>
      </c>
      <c r="G36" s="63">
        <f t="shared" si="6"/>
        <v>16145.05042</v>
      </c>
      <c r="H36" s="63">
        <f t="shared" si="6"/>
        <v>17649.67264</v>
      </c>
      <c r="I36" s="63">
        <f t="shared" si="6"/>
        <v>20272.80568</v>
      </c>
      <c r="J36" s="63">
        <f t="shared" si="6"/>
        <v>20388.91752</v>
      </c>
      <c r="K36" s="63">
        <f t="shared" si="6"/>
        <v>20543.40109</v>
      </c>
      <c r="L36" s="63">
        <f t="shared" si="6"/>
        <v>21532.6898</v>
      </c>
      <c r="M36" s="63">
        <f t="shared" si="6"/>
        <v>22795.12576</v>
      </c>
      <c r="N36" s="63">
        <f t="shared" si="6"/>
        <v>19727.15851</v>
      </c>
      <c r="O36" s="63">
        <f t="shared" si="6"/>
        <v>20450.90164</v>
      </c>
      <c r="P36" s="63">
        <f t="shared" si="6"/>
        <v>225387.7603</v>
      </c>
      <c r="Q36" s="77"/>
      <c r="R36" s="76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</row>
    <row r="37" ht="12.75" customHeight="1">
      <c r="A37" s="51"/>
      <c r="B37" s="51"/>
      <c r="C37" s="64" t="s">
        <v>50</v>
      </c>
      <c r="D37" s="63">
        <f t="shared" ref="D37:P37" si="7">+D23-D36</f>
        <v>32736.58102</v>
      </c>
      <c r="E37" s="63">
        <f t="shared" si="7"/>
        <v>31842.50287</v>
      </c>
      <c r="F37" s="63">
        <f t="shared" si="7"/>
        <v>29470.74707</v>
      </c>
      <c r="G37" s="63">
        <f t="shared" si="7"/>
        <v>28180.5916</v>
      </c>
      <c r="H37" s="63">
        <f t="shared" si="7"/>
        <v>30071.13008</v>
      </c>
      <c r="I37" s="63">
        <f t="shared" si="7"/>
        <v>27563.78218</v>
      </c>
      <c r="J37" s="63">
        <f t="shared" si="7"/>
        <v>37194.3309</v>
      </c>
      <c r="K37" s="63">
        <f t="shared" si="7"/>
        <v>40110.99481</v>
      </c>
      <c r="L37" s="63">
        <f t="shared" si="7"/>
        <v>41998.04515</v>
      </c>
      <c r="M37" s="63">
        <f t="shared" si="7"/>
        <v>47902.27393</v>
      </c>
      <c r="N37" s="63">
        <f t="shared" si="7"/>
        <v>39728.69927</v>
      </c>
      <c r="O37" s="63">
        <f t="shared" si="7"/>
        <v>42636.62751</v>
      </c>
      <c r="P37" s="63">
        <f t="shared" si="7"/>
        <v>429436.3064</v>
      </c>
      <c r="Q37" s="51"/>
      <c r="R37" s="76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</row>
    <row r="38" ht="12.75" customHeight="1">
      <c r="A38" s="51"/>
      <c r="B38" s="51"/>
      <c r="C38" s="78" t="s">
        <v>52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76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</row>
    <row r="39" ht="12.75" customHeight="1">
      <c r="A39" s="51"/>
      <c r="B39" s="51"/>
      <c r="C39" s="44" t="s">
        <v>53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12.75" customHeight="1">
      <c r="A40" s="51"/>
      <c r="B40" s="51"/>
      <c r="C40" s="47" t="s">
        <v>54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12.75" customHeight="1">
      <c r="A41" s="51"/>
      <c r="B41" s="51"/>
      <c r="C41" s="47" t="s">
        <v>55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12.75" customHeight="1">
      <c r="A42" s="51"/>
      <c r="B42" s="51"/>
      <c r="C42" s="47" t="s">
        <v>56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51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</row>
    <row r="43" ht="12.75" customHeight="1">
      <c r="A43" s="51"/>
      <c r="B43" s="51"/>
      <c r="C43" s="47" t="s">
        <v>57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51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</row>
    <row r="44" ht="12.75" customHeight="1">
      <c r="A44" s="51"/>
      <c r="B44" s="51"/>
      <c r="C44" s="47" t="s">
        <v>58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51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ht="12.75" customHeight="1">
      <c r="A45" s="51"/>
      <c r="B45" s="51"/>
      <c r="C45" s="47" t="s">
        <v>59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51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ht="12.75" customHeight="1">
      <c r="A46" s="51"/>
      <c r="B46" s="51"/>
      <c r="C46" s="47" t="s">
        <v>60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51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ht="12.75" customHeight="1">
      <c r="A47" s="51"/>
      <c r="B47" s="51"/>
      <c r="C47" s="5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ht="12.75" customHeight="1">
      <c r="A48" s="51"/>
      <c r="B48" s="51"/>
      <c r="C48" s="50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ht="12.75" customHeight="1">
      <c r="A49" s="51"/>
      <c r="B49" s="51"/>
      <c r="C49" s="50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</row>
    <row r="50" ht="12.75" customHeight="1">
      <c r="A50" s="51"/>
      <c r="B50" s="51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</row>
    <row r="51" ht="12.75" customHeight="1">
      <c r="A51" s="51"/>
      <c r="B51" s="51"/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</row>
    <row r="52" ht="12.75" customHeight="1">
      <c r="A52" s="51"/>
      <c r="B52" s="51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</row>
    <row r="53" ht="12.75" customHeight="1">
      <c r="A53" s="51"/>
      <c r="B53" s="51"/>
      <c r="C53" s="5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 ht="12.75" customHeight="1">
      <c r="A54" s="51"/>
      <c r="B54" s="51"/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 ht="12.75" customHeight="1">
      <c r="A55" s="51"/>
      <c r="B55" s="51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</row>
    <row r="56" ht="12.75" customHeight="1">
      <c r="A56" s="51"/>
      <c r="B56" s="51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</row>
    <row r="57" ht="12.75" customHeight="1">
      <c r="A57" s="51"/>
      <c r="B57" s="51"/>
      <c r="C57" s="5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</row>
    <row r="58" ht="12.75" customHeight="1">
      <c r="A58" s="51"/>
      <c r="B58" s="51"/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</row>
    <row r="59" ht="12.75" customHeight="1">
      <c r="A59" s="51"/>
      <c r="B59" s="51"/>
      <c r="C59" s="50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</row>
    <row r="60" ht="12.75" customHeight="1">
      <c r="A60" s="51"/>
      <c r="B60" s="51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</row>
    <row r="61" ht="12.75" customHeight="1">
      <c r="A61" s="51"/>
      <c r="B61" s="51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</row>
    <row r="62" ht="12.75" customHeight="1">
      <c r="A62" s="51"/>
      <c r="B62" s="51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ht="12.75" customHeight="1">
      <c r="A63" s="51"/>
      <c r="B63" s="51"/>
      <c r="C63" s="50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</row>
    <row r="64" ht="12.75" customHeight="1">
      <c r="A64" s="51"/>
      <c r="B64" s="51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</row>
    <row r="65" ht="12.75" customHeight="1">
      <c r="A65" s="51"/>
      <c r="B65" s="51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</row>
    <row r="66" ht="12.75" customHeight="1">
      <c r="A66" s="51"/>
      <c r="B66" s="51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</row>
    <row r="67" ht="12.75" customHeight="1">
      <c r="A67" s="51"/>
      <c r="B67" s="51"/>
      <c r="C67" s="50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</row>
    <row r="68" ht="12.75" customHeight="1">
      <c r="A68" s="51"/>
      <c r="B68" s="51"/>
      <c r="C68" s="50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</row>
    <row r="69" ht="12.75" customHeight="1">
      <c r="A69" s="51"/>
      <c r="B69" s="51"/>
      <c r="C69" s="50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ht="12.75" customHeight="1">
      <c r="A70" s="51"/>
      <c r="B70" s="51"/>
      <c r="C70" s="50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</row>
    <row r="71" ht="12.75" customHeight="1">
      <c r="A71" s="51"/>
      <c r="B71" s="51"/>
      <c r="C71" s="50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</row>
    <row r="72" ht="12.75" customHeight="1">
      <c r="A72" s="51"/>
      <c r="B72" s="51"/>
      <c r="C72" s="50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</row>
    <row r="73" ht="12.75" customHeight="1">
      <c r="A73" s="51"/>
      <c r="B73" s="51"/>
      <c r="C73" s="50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</row>
    <row r="74" ht="12.75" customHeight="1">
      <c r="A74" s="51"/>
      <c r="B74" s="51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</row>
    <row r="75" ht="12.75" customHeight="1">
      <c r="A75" s="51"/>
      <c r="B75" s="51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</row>
    <row r="76" ht="12.75" customHeight="1">
      <c r="A76" s="51"/>
      <c r="B76" s="51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</row>
    <row r="77" ht="12.75" customHeight="1">
      <c r="A77" s="51"/>
      <c r="B77" s="51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</row>
    <row r="78" ht="12.75" customHeight="1">
      <c r="A78" s="51"/>
      <c r="B78" s="51"/>
      <c r="C78" s="50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</row>
    <row r="79" ht="12.75" customHeight="1">
      <c r="A79" s="51"/>
      <c r="B79" s="51"/>
      <c r="C79" s="50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ht="12.75" customHeight="1">
      <c r="A80" s="51"/>
      <c r="B80" s="51"/>
      <c r="C80" s="50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</row>
    <row r="81" ht="12.75" customHeight="1">
      <c r="A81" s="51"/>
      <c r="B81" s="51"/>
      <c r="C81" s="50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</row>
    <row r="82" ht="12.75" customHeight="1">
      <c r="A82" s="51"/>
      <c r="B82" s="51"/>
      <c r="C82" s="50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</row>
    <row r="83" ht="12.75" customHeight="1">
      <c r="A83" s="51"/>
      <c r="B83" s="51"/>
      <c r="C83" s="50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</row>
    <row r="84" ht="12.75" customHeight="1">
      <c r="A84" s="51"/>
      <c r="B84" s="51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</row>
    <row r="85" ht="12.75" customHeight="1">
      <c r="A85" s="51"/>
      <c r="B85" s="51"/>
      <c r="C85" s="50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ht="12.75" customHeight="1">
      <c r="A86" s="51"/>
      <c r="B86" s="51"/>
      <c r="C86" s="50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ht="12.75" customHeight="1">
      <c r="A87" s="51"/>
      <c r="B87" s="51"/>
      <c r="C87" s="50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ht="12.75" customHeight="1">
      <c r="A88" s="51"/>
      <c r="B88" s="51"/>
      <c r="C88" s="50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ht="12.75" customHeight="1">
      <c r="A89" s="51"/>
      <c r="B89" s="51"/>
      <c r="C89" s="50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0" ht="12.75" customHeight="1">
      <c r="A90" s="51"/>
      <c r="B90" s="51"/>
      <c r="C90" s="50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</row>
    <row r="91" ht="12.75" customHeight="1">
      <c r="A91" s="51"/>
      <c r="B91" s="51"/>
      <c r="C91" s="50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</row>
    <row r="92" ht="12.75" customHeight="1">
      <c r="A92" s="51"/>
      <c r="B92" s="51"/>
      <c r="C92" s="50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</row>
    <row r="93" ht="12.75" customHeight="1">
      <c r="A93" s="51"/>
      <c r="B93" s="51"/>
      <c r="C93" s="50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</row>
    <row r="94" ht="12.75" customHeight="1">
      <c r="A94" s="51"/>
      <c r="B94" s="51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</row>
    <row r="95" ht="12.75" customHeight="1">
      <c r="A95" s="51"/>
      <c r="B95" s="51"/>
      <c r="C95" s="50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</row>
    <row r="96" ht="12.75" customHeight="1">
      <c r="A96" s="51"/>
      <c r="B96" s="51"/>
      <c r="C96" s="50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</row>
    <row r="97" ht="12.75" customHeight="1">
      <c r="A97" s="51"/>
      <c r="B97" s="51"/>
      <c r="C97" s="50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</row>
    <row r="98" ht="12.75" customHeight="1">
      <c r="A98" s="51"/>
      <c r="B98" s="51"/>
      <c r="C98" s="50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</row>
    <row r="99" ht="12.75" customHeight="1">
      <c r="A99" s="51"/>
      <c r="B99" s="51"/>
      <c r="C99" s="50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</row>
    <row r="100" ht="12.75" customHeight="1">
      <c r="A100" s="51"/>
      <c r="B100" s="51"/>
      <c r="C100" s="50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</row>
    <row r="101" ht="12.75" customHeight="1">
      <c r="A101" s="51"/>
      <c r="B101" s="51"/>
      <c r="C101" s="50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</row>
    <row r="102" ht="12.75" customHeight="1">
      <c r="A102" s="51"/>
      <c r="B102" s="51"/>
      <c r="C102" s="50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</row>
    <row r="103" ht="12.75" customHeight="1">
      <c r="A103" s="51"/>
      <c r="B103" s="51"/>
      <c r="C103" s="50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</row>
    <row r="104" ht="12.75" customHeight="1">
      <c r="A104" s="51"/>
      <c r="B104" s="51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</row>
    <row r="105" ht="12.75" customHeight="1">
      <c r="A105" s="51"/>
      <c r="B105" s="51"/>
      <c r="C105" s="50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</row>
    <row r="106" ht="12.75" customHeight="1">
      <c r="A106" s="51"/>
      <c r="B106" s="51"/>
      <c r="C106" s="50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</row>
    <row r="107" ht="12.75" customHeight="1">
      <c r="A107" s="51"/>
      <c r="B107" s="51"/>
      <c r="C107" s="50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</row>
    <row r="108" ht="12.75" customHeight="1">
      <c r="A108" s="51"/>
      <c r="B108" s="51"/>
      <c r="C108" s="50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</row>
    <row r="109" ht="12.75" customHeight="1">
      <c r="A109" s="51"/>
      <c r="B109" s="51"/>
      <c r="C109" s="50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</row>
    <row r="110" ht="12.75" customHeight="1">
      <c r="A110" s="51"/>
      <c r="B110" s="51"/>
      <c r="C110" s="50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</row>
    <row r="111" ht="12.75" customHeight="1">
      <c r="A111" s="51"/>
      <c r="B111" s="51"/>
      <c r="C111" s="50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</row>
    <row r="112" ht="12.75" customHeight="1">
      <c r="A112" s="51"/>
      <c r="B112" s="51"/>
      <c r="C112" s="50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</row>
    <row r="113" ht="12.75" customHeight="1">
      <c r="A113" s="51"/>
      <c r="B113" s="51"/>
      <c r="C113" s="50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</row>
    <row r="114" ht="12.75" customHeight="1">
      <c r="A114" s="51"/>
      <c r="B114" s="51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</row>
    <row r="115" ht="12.75" customHeight="1">
      <c r="A115" s="51"/>
      <c r="B115" s="51"/>
      <c r="C115" s="50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</row>
    <row r="116" ht="12.75" customHeight="1">
      <c r="A116" s="51"/>
      <c r="B116" s="51"/>
      <c r="C116" s="50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</row>
    <row r="117" ht="12.75" customHeight="1">
      <c r="A117" s="51"/>
      <c r="B117" s="51"/>
      <c r="C117" s="50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</row>
    <row r="118" ht="12.75" customHeight="1">
      <c r="A118" s="51"/>
      <c r="B118" s="51"/>
      <c r="C118" s="50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</row>
    <row r="119" ht="12.75" customHeight="1">
      <c r="A119" s="51"/>
      <c r="B119" s="51"/>
      <c r="C119" s="50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</row>
    <row r="120" ht="12.75" customHeight="1">
      <c r="A120" s="51"/>
      <c r="B120" s="51"/>
      <c r="C120" s="50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</row>
    <row r="121" ht="12.75" customHeight="1">
      <c r="A121" s="51"/>
      <c r="B121" s="51"/>
      <c r="C121" s="50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</row>
    <row r="122" ht="12.75" customHeight="1">
      <c r="A122" s="51"/>
      <c r="B122" s="51"/>
      <c r="C122" s="50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</row>
    <row r="123" ht="12.75" customHeight="1">
      <c r="A123" s="51"/>
      <c r="B123" s="51"/>
      <c r="C123" s="50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</row>
    <row r="124" ht="12.75" customHeight="1">
      <c r="A124" s="51"/>
      <c r="B124" s="51"/>
      <c r="C124" s="50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</row>
    <row r="125" ht="12.75" customHeight="1">
      <c r="A125" s="51"/>
      <c r="B125" s="51"/>
      <c r="C125" s="50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</row>
    <row r="126" ht="12.75" customHeight="1">
      <c r="A126" s="51"/>
      <c r="B126" s="51"/>
      <c r="C126" s="50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</row>
    <row r="127" ht="12.75" customHeight="1">
      <c r="A127" s="51"/>
      <c r="B127" s="51"/>
      <c r="C127" s="50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</row>
    <row r="128" ht="12.75" customHeight="1">
      <c r="A128" s="51"/>
      <c r="B128" s="51"/>
      <c r="C128" s="50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</row>
    <row r="129" ht="12.75" customHeight="1">
      <c r="A129" s="51"/>
      <c r="B129" s="51"/>
      <c r="C129" s="50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</row>
    <row r="130" ht="12.75" customHeight="1">
      <c r="A130" s="51"/>
      <c r="B130" s="51"/>
      <c r="C130" s="50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</row>
    <row r="131" ht="12.75" customHeight="1">
      <c r="A131" s="51"/>
      <c r="B131" s="51"/>
      <c r="C131" s="50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</row>
    <row r="132" ht="12.75" customHeight="1">
      <c r="A132" s="51"/>
      <c r="B132" s="51"/>
      <c r="C132" s="50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</row>
    <row r="133" ht="12.75" customHeight="1">
      <c r="A133" s="51"/>
      <c r="B133" s="51"/>
      <c r="C133" s="50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</row>
    <row r="134" ht="12.75" customHeight="1">
      <c r="A134" s="51"/>
      <c r="B134" s="51"/>
      <c r="C134" s="50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</row>
    <row r="135" ht="12.75" customHeight="1">
      <c r="A135" s="51"/>
      <c r="B135" s="51"/>
      <c r="C135" s="50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</row>
    <row r="136" ht="12.75" customHeight="1">
      <c r="A136" s="51"/>
      <c r="B136" s="51"/>
      <c r="C136" s="50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</row>
    <row r="137" ht="12.75" customHeight="1">
      <c r="A137" s="51"/>
      <c r="B137" s="51"/>
      <c r="C137" s="50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</row>
    <row r="138" ht="12.75" customHeight="1">
      <c r="A138" s="51"/>
      <c r="B138" s="51"/>
      <c r="C138" s="50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</row>
    <row r="139" ht="12.75" customHeight="1">
      <c r="A139" s="51"/>
      <c r="B139" s="51"/>
      <c r="C139" s="50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</row>
    <row r="140" ht="12.75" customHeight="1">
      <c r="A140" s="51"/>
      <c r="B140" s="51"/>
      <c r="C140" s="50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</row>
    <row r="141" ht="12.75" customHeight="1">
      <c r="A141" s="51"/>
      <c r="B141" s="51"/>
      <c r="C141" s="50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</row>
    <row r="142" ht="12.75" customHeight="1">
      <c r="A142" s="51"/>
      <c r="B142" s="51"/>
      <c r="C142" s="50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</row>
    <row r="143" ht="12.75" customHeight="1">
      <c r="A143" s="51"/>
      <c r="B143" s="51"/>
      <c r="C143" s="50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</row>
    <row r="144" ht="12.75" customHeight="1">
      <c r="A144" s="51"/>
      <c r="B144" s="51"/>
      <c r="C144" s="50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</row>
    <row r="145" ht="12.75" customHeight="1">
      <c r="A145" s="51"/>
      <c r="B145" s="51"/>
      <c r="C145" s="50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</row>
    <row r="146" ht="12.75" customHeight="1">
      <c r="A146" s="51"/>
      <c r="B146" s="51"/>
      <c r="C146" s="50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</row>
    <row r="147" ht="12.75" customHeight="1">
      <c r="A147" s="51"/>
      <c r="B147" s="51"/>
      <c r="C147" s="50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</row>
    <row r="148" ht="12.75" customHeight="1">
      <c r="A148" s="51"/>
      <c r="B148" s="51"/>
      <c r="C148" s="50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</row>
    <row r="149" ht="12.75" customHeight="1">
      <c r="A149" s="51"/>
      <c r="B149" s="51"/>
      <c r="C149" s="50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</row>
    <row r="150" ht="12.75" customHeight="1">
      <c r="A150" s="51"/>
      <c r="B150" s="51"/>
      <c r="C150" s="50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</row>
    <row r="151" ht="12.75" customHeight="1">
      <c r="A151" s="51"/>
      <c r="B151" s="51"/>
      <c r="C151" s="50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</row>
    <row r="152" ht="12.75" customHeight="1">
      <c r="A152" s="51"/>
      <c r="B152" s="51"/>
      <c r="C152" s="50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</row>
    <row r="153" ht="12.75" customHeight="1">
      <c r="A153" s="51"/>
      <c r="B153" s="51"/>
      <c r="C153" s="50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</row>
    <row r="154" ht="12.75" customHeight="1">
      <c r="A154" s="51"/>
      <c r="B154" s="51"/>
      <c r="C154" s="50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</row>
    <row r="155" ht="12.75" customHeight="1">
      <c r="A155" s="51"/>
      <c r="B155" s="51"/>
      <c r="C155" s="50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</row>
    <row r="156" ht="12.75" customHeight="1">
      <c r="A156" s="51"/>
      <c r="B156" s="51"/>
      <c r="C156" s="50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</row>
    <row r="157" ht="12.75" customHeight="1">
      <c r="A157" s="51"/>
      <c r="B157" s="51"/>
      <c r="C157" s="50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</row>
    <row r="158" ht="12.75" customHeight="1">
      <c r="A158" s="51"/>
      <c r="B158" s="51"/>
      <c r="C158" s="50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</row>
    <row r="159" ht="12.75" customHeight="1">
      <c r="A159" s="51"/>
      <c r="B159" s="51"/>
      <c r="C159" s="50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</row>
    <row r="160" ht="12.75" customHeight="1">
      <c r="A160" s="51"/>
      <c r="B160" s="51"/>
      <c r="C160" s="50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</row>
    <row r="161" ht="12.75" customHeight="1">
      <c r="A161" s="51"/>
      <c r="B161" s="51"/>
      <c r="C161" s="50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</row>
    <row r="162" ht="12.75" customHeight="1">
      <c r="A162" s="51"/>
      <c r="B162" s="51"/>
      <c r="C162" s="50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</row>
    <row r="163" ht="12.75" customHeight="1">
      <c r="A163" s="51"/>
      <c r="B163" s="51"/>
      <c r="C163" s="50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</row>
    <row r="164" ht="12.75" customHeight="1">
      <c r="A164" s="51"/>
      <c r="B164" s="51"/>
      <c r="C164" s="50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</row>
    <row r="165" ht="12.75" customHeight="1">
      <c r="A165" s="51"/>
      <c r="B165" s="51"/>
      <c r="C165" s="50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</row>
    <row r="166" ht="12.75" customHeight="1">
      <c r="A166" s="51"/>
      <c r="B166" s="51"/>
      <c r="C166" s="50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</row>
    <row r="167" ht="12.75" customHeight="1">
      <c r="A167" s="51"/>
      <c r="B167" s="51"/>
      <c r="C167" s="50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</row>
    <row r="168" ht="12.75" customHeight="1">
      <c r="A168" s="51"/>
      <c r="B168" s="51"/>
      <c r="C168" s="50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</row>
    <row r="169" ht="12.75" customHeight="1">
      <c r="A169" s="51"/>
      <c r="B169" s="51"/>
      <c r="C169" s="50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</row>
    <row r="170" ht="12.75" customHeight="1">
      <c r="A170" s="51"/>
      <c r="B170" s="51"/>
      <c r="C170" s="50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</row>
    <row r="171" ht="12.75" customHeight="1">
      <c r="A171" s="51"/>
      <c r="B171" s="51"/>
      <c r="C171" s="50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</row>
    <row r="172" ht="12.75" customHeight="1">
      <c r="A172" s="51"/>
      <c r="B172" s="51"/>
      <c r="C172" s="50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</row>
    <row r="173" ht="12.75" customHeight="1">
      <c r="A173" s="51"/>
      <c r="B173" s="51"/>
      <c r="C173" s="50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</row>
    <row r="174" ht="12.75" customHeight="1">
      <c r="A174" s="51"/>
      <c r="B174" s="51"/>
      <c r="C174" s="50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</row>
    <row r="175" ht="12.75" customHeight="1">
      <c r="A175" s="51"/>
      <c r="B175" s="51"/>
      <c r="C175" s="50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</row>
    <row r="176" ht="12.75" customHeight="1">
      <c r="A176" s="51"/>
      <c r="B176" s="51"/>
      <c r="C176" s="50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</row>
    <row r="177" ht="12.75" customHeight="1">
      <c r="A177" s="51"/>
      <c r="B177" s="51"/>
      <c r="C177" s="50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</row>
    <row r="178" ht="12.75" customHeight="1">
      <c r="A178" s="51"/>
      <c r="B178" s="51"/>
      <c r="C178" s="50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</row>
    <row r="179" ht="12.75" customHeight="1">
      <c r="A179" s="51"/>
      <c r="B179" s="51"/>
      <c r="C179" s="50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</row>
    <row r="180" ht="12.75" customHeight="1">
      <c r="A180" s="51"/>
      <c r="B180" s="51"/>
      <c r="C180" s="50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</row>
    <row r="181" ht="12.75" customHeight="1">
      <c r="A181" s="51"/>
      <c r="B181" s="51"/>
      <c r="C181" s="50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</row>
    <row r="182" ht="12.75" customHeight="1">
      <c r="A182" s="51"/>
      <c r="B182" s="51"/>
      <c r="C182" s="50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</row>
    <row r="183" ht="12.75" customHeight="1">
      <c r="A183" s="51"/>
      <c r="B183" s="51"/>
      <c r="C183" s="50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</row>
    <row r="184" ht="12.75" customHeight="1">
      <c r="A184" s="51"/>
      <c r="B184" s="51"/>
      <c r="C184" s="50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</row>
    <row r="185" ht="12.75" customHeight="1">
      <c r="A185" s="51"/>
      <c r="B185" s="51"/>
      <c r="C185" s="50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</row>
    <row r="186" ht="12.75" customHeight="1">
      <c r="A186" s="51"/>
      <c r="B186" s="51"/>
      <c r="C186" s="50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</row>
    <row r="187" ht="12.75" customHeight="1">
      <c r="A187" s="51"/>
      <c r="B187" s="51"/>
      <c r="C187" s="50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</row>
    <row r="188" ht="12.75" customHeight="1">
      <c r="A188" s="51"/>
      <c r="B188" s="51"/>
      <c r="C188" s="50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</row>
    <row r="189" ht="12.75" customHeight="1">
      <c r="A189" s="51"/>
      <c r="B189" s="51"/>
      <c r="C189" s="50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</row>
    <row r="190" ht="12.75" customHeight="1">
      <c r="A190" s="51"/>
      <c r="B190" s="51"/>
      <c r="C190" s="50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</row>
    <row r="191" ht="12.75" customHeight="1">
      <c r="A191" s="51"/>
      <c r="B191" s="51"/>
      <c r="C191" s="50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</row>
    <row r="192" ht="12.75" customHeight="1">
      <c r="A192" s="51"/>
      <c r="B192" s="51"/>
      <c r="C192" s="50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</row>
    <row r="193" ht="12.75" customHeight="1">
      <c r="A193" s="51"/>
      <c r="B193" s="51"/>
      <c r="C193" s="50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</row>
    <row r="194" ht="12.75" customHeight="1">
      <c r="A194" s="51"/>
      <c r="B194" s="51"/>
      <c r="C194" s="50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</row>
    <row r="195" ht="12.75" customHeight="1">
      <c r="A195" s="51"/>
      <c r="B195" s="51"/>
      <c r="C195" s="50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</row>
    <row r="196" ht="12.75" customHeight="1">
      <c r="A196" s="51"/>
      <c r="B196" s="51"/>
      <c r="C196" s="50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</row>
    <row r="197" ht="12.75" customHeight="1">
      <c r="A197" s="51"/>
      <c r="B197" s="51"/>
      <c r="C197" s="50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</row>
    <row r="198" ht="12.75" customHeight="1">
      <c r="A198" s="51"/>
      <c r="B198" s="51"/>
      <c r="C198" s="50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</row>
    <row r="199" ht="12.75" customHeight="1">
      <c r="A199" s="51"/>
      <c r="B199" s="51"/>
      <c r="C199" s="50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</row>
    <row r="200" ht="12.75" customHeight="1">
      <c r="A200" s="51"/>
      <c r="B200" s="51"/>
      <c r="C200" s="50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</row>
    <row r="201" ht="12.75" customHeight="1">
      <c r="A201" s="51"/>
      <c r="B201" s="51"/>
      <c r="C201" s="50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</row>
    <row r="202" ht="12.75" customHeight="1">
      <c r="A202" s="51"/>
      <c r="B202" s="51"/>
      <c r="C202" s="50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</row>
    <row r="203" ht="12.75" customHeight="1">
      <c r="A203" s="51"/>
      <c r="B203" s="51"/>
      <c r="C203" s="50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</row>
    <row r="204" ht="12.75" customHeight="1">
      <c r="A204" s="51"/>
      <c r="B204" s="51"/>
      <c r="C204" s="50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</row>
    <row r="205" ht="12.75" customHeight="1">
      <c r="A205" s="51"/>
      <c r="B205" s="51"/>
      <c r="C205" s="50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</row>
    <row r="206" ht="12.75" customHeight="1">
      <c r="A206" s="51"/>
      <c r="B206" s="51"/>
      <c r="C206" s="50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</row>
    <row r="207" ht="12.75" customHeight="1">
      <c r="A207" s="51"/>
      <c r="B207" s="51"/>
      <c r="C207" s="50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</row>
    <row r="208" ht="12.75" customHeight="1">
      <c r="A208" s="51"/>
      <c r="B208" s="51"/>
      <c r="C208" s="50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</row>
    <row r="209" ht="12.75" customHeight="1">
      <c r="A209" s="51"/>
      <c r="B209" s="51"/>
      <c r="C209" s="50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</row>
    <row r="210" ht="12.75" customHeight="1">
      <c r="A210" s="51"/>
      <c r="B210" s="51"/>
      <c r="C210" s="50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</row>
    <row r="211" ht="12.75" customHeight="1">
      <c r="A211" s="51"/>
      <c r="B211" s="51"/>
      <c r="C211" s="50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</row>
    <row r="212" ht="12.75" customHeight="1">
      <c r="A212" s="51"/>
      <c r="B212" s="51"/>
      <c r="C212" s="50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</row>
    <row r="213" ht="12.75" customHeight="1">
      <c r="A213" s="51"/>
      <c r="B213" s="51"/>
      <c r="C213" s="50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</row>
    <row r="214" ht="12.75" customHeight="1">
      <c r="A214" s="51"/>
      <c r="B214" s="51"/>
      <c r="C214" s="50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</row>
    <row r="215" ht="12.75" customHeight="1">
      <c r="A215" s="51"/>
      <c r="B215" s="51"/>
      <c r="C215" s="50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</row>
    <row r="216" ht="12.75" customHeight="1">
      <c r="A216" s="51"/>
      <c r="B216" s="51"/>
      <c r="C216" s="50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</row>
    <row r="217" ht="12.75" customHeight="1">
      <c r="A217" s="51"/>
      <c r="B217" s="51"/>
      <c r="C217" s="50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</row>
    <row r="218" ht="12.75" customHeight="1">
      <c r="A218" s="51"/>
      <c r="B218" s="51"/>
      <c r="C218" s="50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</row>
    <row r="219" ht="12.75" customHeight="1">
      <c r="A219" s="51"/>
      <c r="B219" s="51"/>
      <c r="C219" s="50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</row>
    <row r="220" ht="12.75" customHeight="1">
      <c r="A220" s="51"/>
      <c r="B220" s="51"/>
      <c r="C220" s="50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</row>
    <row r="221" ht="12.75" customHeight="1">
      <c r="A221" s="51"/>
      <c r="B221" s="51"/>
      <c r="C221" s="50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</row>
    <row r="222" ht="12.75" customHeight="1">
      <c r="A222" s="51"/>
      <c r="B222" s="51"/>
      <c r="C222" s="50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</row>
    <row r="223" ht="12.75" customHeight="1">
      <c r="A223" s="51"/>
      <c r="B223" s="51"/>
      <c r="C223" s="50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</row>
    <row r="224" ht="12.75" customHeight="1">
      <c r="A224" s="51"/>
      <c r="B224" s="51"/>
      <c r="C224" s="50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</row>
    <row r="225" ht="12.75" customHeight="1">
      <c r="A225" s="51"/>
      <c r="B225" s="51"/>
      <c r="C225" s="50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</row>
    <row r="226" ht="12.75" customHeight="1">
      <c r="A226" s="51"/>
      <c r="B226" s="51"/>
      <c r="C226" s="50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</row>
    <row r="227" ht="12.75" customHeight="1">
      <c r="A227" s="51"/>
      <c r="B227" s="51"/>
      <c r="C227" s="50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</row>
    <row r="228" ht="12.75" customHeight="1">
      <c r="A228" s="51"/>
      <c r="B228" s="51"/>
      <c r="C228" s="50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</row>
    <row r="229" ht="12.75" customHeight="1">
      <c r="A229" s="51"/>
      <c r="B229" s="51"/>
      <c r="C229" s="50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</row>
    <row r="230" ht="12.75" customHeight="1">
      <c r="A230" s="51"/>
      <c r="B230" s="51"/>
      <c r="C230" s="50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</row>
    <row r="231" ht="12.75" customHeight="1">
      <c r="A231" s="51"/>
      <c r="B231" s="51"/>
      <c r="C231" s="50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</row>
    <row r="232" ht="12.75" customHeight="1">
      <c r="A232" s="51"/>
      <c r="B232" s="51"/>
      <c r="C232" s="50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</row>
    <row r="233" ht="12.75" customHeight="1">
      <c r="A233" s="51"/>
      <c r="B233" s="51"/>
      <c r="C233" s="50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</row>
    <row r="234" ht="12.75" customHeight="1">
      <c r="A234" s="51"/>
      <c r="B234" s="51"/>
      <c r="C234" s="50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</row>
    <row r="235" ht="12.75" customHeight="1">
      <c r="A235" s="51"/>
      <c r="B235" s="51"/>
      <c r="C235" s="50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</row>
    <row r="236" ht="12.75" customHeight="1">
      <c r="A236" s="51"/>
      <c r="B236" s="51"/>
      <c r="C236" s="50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</row>
    <row r="237" ht="12.75" customHeight="1">
      <c r="A237" s="51"/>
      <c r="B237" s="51"/>
      <c r="C237" s="50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</row>
    <row r="238" ht="12.75" customHeight="1">
      <c r="A238" s="51"/>
      <c r="B238" s="51"/>
      <c r="C238" s="50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</row>
    <row r="239" ht="12.75" customHeight="1">
      <c r="A239" s="51"/>
      <c r="B239" s="51"/>
      <c r="C239" s="50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</row>
    <row r="240" ht="12.75" customHeight="1">
      <c r="A240" s="51"/>
      <c r="B240" s="51"/>
      <c r="C240" s="50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</row>
    <row r="241" ht="12.75" customHeight="1">
      <c r="A241" s="51"/>
      <c r="B241" s="51"/>
      <c r="C241" s="50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</row>
    <row r="242" ht="12.75" customHeight="1">
      <c r="A242" s="51"/>
      <c r="B242" s="51"/>
      <c r="C242" s="50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</row>
    <row r="243" ht="12.75" customHeight="1">
      <c r="A243" s="51"/>
      <c r="B243" s="51"/>
      <c r="C243" s="50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</row>
    <row r="244" ht="12.75" customHeight="1">
      <c r="A244" s="51"/>
      <c r="B244" s="51"/>
      <c r="C244" s="50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</row>
    <row r="245" ht="12.75" customHeight="1">
      <c r="A245" s="51"/>
      <c r="B245" s="51"/>
      <c r="C245" s="50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</row>
    <row r="246" ht="12.75" customHeight="1">
      <c r="A246" s="51"/>
      <c r="B246" s="51"/>
      <c r="C246" s="50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</row>
    <row r="247" ht="12.75" customHeight="1">
      <c r="A247" s="51"/>
      <c r="B247" s="51"/>
      <c r="C247" s="50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</row>
    <row r="248" ht="12.75" customHeight="1">
      <c r="A248" s="51"/>
      <c r="B248" s="51"/>
      <c r="C248" s="50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</row>
    <row r="249" ht="12.75" customHeight="1">
      <c r="A249" s="51"/>
      <c r="B249" s="51"/>
      <c r="C249" s="50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</row>
    <row r="250" ht="12.75" customHeight="1">
      <c r="A250" s="51"/>
      <c r="B250" s="51"/>
      <c r="C250" s="50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</row>
    <row r="251" ht="12.75" customHeight="1">
      <c r="A251" s="51"/>
      <c r="B251" s="51"/>
      <c r="C251" s="50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</row>
    <row r="252" ht="12.75" customHeight="1">
      <c r="A252" s="51"/>
      <c r="B252" s="51"/>
      <c r="C252" s="50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</row>
    <row r="253" ht="12.75" customHeight="1">
      <c r="A253" s="51"/>
      <c r="B253" s="51"/>
      <c r="C253" s="50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</row>
    <row r="254" ht="12.75" customHeight="1">
      <c r="A254" s="51"/>
      <c r="B254" s="51"/>
      <c r="C254" s="50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</row>
    <row r="255" ht="12.75" customHeight="1">
      <c r="A255" s="51"/>
      <c r="B255" s="51"/>
      <c r="C255" s="50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</row>
    <row r="256" ht="12.75" customHeight="1">
      <c r="A256" s="51"/>
      <c r="B256" s="51"/>
      <c r="C256" s="50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</row>
    <row r="257" ht="12.75" customHeight="1">
      <c r="A257" s="51"/>
      <c r="B257" s="51"/>
      <c r="C257" s="50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</row>
    <row r="258" ht="12.75" customHeight="1">
      <c r="A258" s="51"/>
      <c r="B258" s="51"/>
      <c r="C258" s="50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</row>
    <row r="259" ht="12.75" customHeight="1">
      <c r="A259" s="51"/>
      <c r="B259" s="51"/>
      <c r="C259" s="50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</row>
    <row r="260" ht="12.75" customHeight="1">
      <c r="A260" s="51"/>
      <c r="B260" s="51"/>
      <c r="C260" s="50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</row>
    <row r="261" ht="12.75" customHeight="1">
      <c r="A261" s="51"/>
      <c r="B261" s="51"/>
      <c r="C261" s="50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</row>
    <row r="262" ht="12.75" customHeight="1">
      <c r="A262" s="51"/>
      <c r="B262" s="51"/>
      <c r="C262" s="50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</row>
    <row r="263" ht="12.75" customHeight="1">
      <c r="A263" s="51"/>
      <c r="B263" s="51"/>
      <c r="C263" s="50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</row>
    <row r="264" ht="12.75" customHeight="1">
      <c r="A264" s="51"/>
      <c r="B264" s="51"/>
      <c r="C264" s="50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</row>
    <row r="265" ht="12.75" customHeight="1">
      <c r="A265" s="51"/>
      <c r="B265" s="51"/>
      <c r="C265" s="50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</row>
    <row r="266" ht="12.75" customHeight="1">
      <c r="A266" s="51"/>
      <c r="B266" s="51"/>
      <c r="C266" s="50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</row>
    <row r="267" ht="12.75" customHeight="1">
      <c r="A267" s="51"/>
      <c r="B267" s="51"/>
      <c r="C267" s="50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</row>
    <row r="268" ht="12.75" customHeight="1">
      <c r="A268" s="51"/>
      <c r="B268" s="51"/>
      <c r="C268" s="50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</row>
    <row r="269" ht="12.75" customHeight="1">
      <c r="A269" s="51"/>
      <c r="B269" s="51"/>
      <c r="C269" s="50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</row>
    <row r="270" ht="12.75" customHeight="1">
      <c r="A270" s="51"/>
      <c r="B270" s="51"/>
      <c r="C270" s="50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</row>
    <row r="271" ht="12.75" customHeight="1">
      <c r="A271" s="51"/>
      <c r="B271" s="51"/>
      <c r="C271" s="50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</row>
    <row r="272" ht="12.75" customHeight="1">
      <c r="A272" s="51"/>
      <c r="B272" s="51"/>
      <c r="C272" s="50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</row>
    <row r="273" ht="12.75" customHeight="1">
      <c r="A273" s="51"/>
      <c r="B273" s="51"/>
      <c r="C273" s="50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</row>
    <row r="274" ht="12.75" customHeight="1">
      <c r="A274" s="51"/>
      <c r="B274" s="51"/>
      <c r="C274" s="50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</row>
    <row r="275" ht="12.75" customHeight="1">
      <c r="A275" s="51"/>
      <c r="B275" s="51"/>
      <c r="C275" s="50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</row>
    <row r="276" ht="12.75" customHeight="1">
      <c r="A276" s="51"/>
      <c r="B276" s="51"/>
      <c r="C276" s="50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</row>
    <row r="277" ht="12.75" customHeight="1">
      <c r="A277" s="51"/>
      <c r="B277" s="51"/>
      <c r="C277" s="50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</row>
    <row r="278" ht="12.75" customHeight="1">
      <c r="A278" s="51"/>
      <c r="B278" s="51"/>
      <c r="C278" s="50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</row>
    <row r="279" ht="12.75" customHeight="1">
      <c r="A279" s="51"/>
      <c r="B279" s="51"/>
      <c r="C279" s="50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</row>
    <row r="280" ht="12.75" customHeight="1">
      <c r="A280" s="51"/>
      <c r="B280" s="51"/>
      <c r="C280" s="50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</row>
    <row r="281" ht="12.75" customHeight="1">
      <c r="A281" s="51"/>
      <c r="B281" s="51"/>
      <c r="C281" s="50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</row>
    <row r="282" ht="12.75" customHeight="1">
      <c r="A282" s="51"/>
      <c r="B282" s="51"/>
      <c r="C282" s="50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</row>
    <row r="283" ht="12.75" customHeight="1">
      <c r="A283" s="51"/>
      <c r="B283" s="51"/>
      <c r="C283" s="50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</row>
    <row r="284" ht="12.75" customHeight="1">
      <c r="A284" s="51"/>
      <c r="B284" s="51"/>
      <c r="C284" s="50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</row>
    <row r="285" ht="12.75" customHeight="1">
      <c r="A285" s="51"/>
      <c r="B285" s="51"/>
      <c r="C285" s="50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</row>
    <row r="286" ht="12.75" customHeight="1">
      <c r="A286" s="51"/>
      <c r="B286" s="51"/>
      <c r="C286" s="50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</row>
    <row r="287" ht="12.75" customHeight="1">
      <c r="A287" s="51"/>
      <c r="B287" s="51"/>
      <c r="C287" s="50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</row>
    <row r="288" ht="12.75" customHeight="1">
      <c r="A288" s="51"/>
      <c r="B288" s="51"/>
      <c r="C288" s="50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</row>
    <row r="289" ht="12.75" customHeight="1">
      <c r="A289" s="51"/>
      <c r="B289" s="51"/>
      <c r="C289" s="50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</row>
    <row r="290" ht="12.75" customHeight="1">
      <c r="A290" s="51"/>
      <c r="B290" s="51"/>
      <c r="C290" s="50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</row>
    <row r="291" ht="12.75" customHeight="1">
      <c r="A291" s="51"/>
      <c r="B291" s="51"/>
      <c r="C291" s="50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</row>
    <row r="292" ht="12.75" customHeight="1">
      <c r="A292" s="51"/>
      <c r="B292" s="51"/>
      <c r="C292" s="50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</row>
    <row r="293" ht="12.75" customHeight="1">
      <c r="A293" s="51"/>
      <c r="B293" s="51"/>
      <c r="C293" s="50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</row>
    <row r="294" ht="12.75" customHeight="1">
      <c r="A294" s="51"/>
      <c r="B294" s="51"/>
      <c r="C294" s="50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</row>
    <row r="295" ht="12.75" customHeight="1">
      <c r="A295" s="51"/>
      <c r="B295" s="51"/>
      <c r="C295" s="50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</row>
    <row r="296" ht="12.75" customHeight="1">
      <c r="A296" s="51"/>
      <c r="B296" s="51"/>
      <c r="C296" s="50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</row>
    <row r="297" ht="12.75" customHeight="1">
      <c r="A297" s="51"/>
      <c r="B297" s="51"/>
      <c r="C297" s="50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</row>
    <row r="298" ht="12.75" customHeight="1">
      <c r="A298" s="51"/>
      <c r="B298" s="51"/>
      <c r="C298" s="50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</row>
    <row r="299" ht="12.75" customHeight="1">
      <c r="A299" s="51"/>
      <c r="B299" s="51"/>
      <c r="C299" s="50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</row>
    <row r="300" ht="12.75" customHeight="1">
      <c r="A300" s="51"/>
      <c r="B300" s="51"/>
      <c r="C300" s="50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</row>
    <row r="301" ht="12.75" customHeight="1">
      <c r="A301" s="51"/>
      <c r="B301" s="51"/>
      <c r="C301" s="50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</row>
    <row r="302" ht="12.75" customHeight="1">
      <c r="A302" s="51"/>
      <c r="B302" s="51"/>
      <c r="C302" s="50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</row>
    <row r="303" ht="12.75" customHeight="1">
      <c r="A303" s="51"/>
      <c r="B303" s="51"/>
      <c r="C303" s="50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</row>
    <row r="304" ht="12.75" customHeight="1">
      <c r="A304" s="51"/>
      <c r="B304" s="51"/>
      <c r="C304" s="50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</row>
    <row r="305" ht="12.75" customHeight="1">
      <c r="A305" s="51"/>
      <c r="B305" s="51"/>
      <c r="C305" s="50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</row>
    <row r="306" ht="12.75" customHeight="1">
      <c r="A306" s="51"/>
      <c r="B306" s="51"/>
      <c r="C306" s="50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</row>
    <row r="307" ht="12.75" customHeight="1">
      <c r="A307" s="51"/>
      <c r="B307" s="51"/>
      <c r="C307" s="50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</row>
    <row r="308" ht="12.75" customHeight="1">
      <c r="A308" s="51"/>
      <c r="B308" s="51"/>
      <c r="C308" s="50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</row>
    <row r="309" ht="12.75" customHeight="1">
      <c r="A309" s="51"/>
      <c r="B309" s="51"/>
      <c r="C309" s="50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</row>
    <row r="310" ht="12.75" customHeight="1">
      <c r="A310" s="51"/>
      <c r="B310" s="51"/>
      <c r="C310" s="50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</row>
    <row r="311" ht="12.75" customHeight="1">
      <c r="A311" s="51"/>
      <c r="B311" s="51"/>
      <c r="C311" s="50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</row>
    <row r="312" ht="12.75" customHeight="1">
      <c r="A312" s="51"/>
      <c r="B312" s="51"/>
      <c r="C312" s="50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</row>
    <row r="313" ht="12.75" customHeight="1">
      <c r="A313" s="51"/>
      <c r="B313" s="51"/>
      <c r="C313" s="50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</row>
    <row r="314" ht="12.75" customHeight="1">
      <c r="A314" s="51"/>
      <c r="B314" s="51"/>
      <c r="C314" s="50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</row>
    <row r="315" ht="12.75" customHeight="1">
      <c r="A315" s="51"/>
      <c r="B315" s="51"/>
      <c r="C315" s="50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</row>
    <row r="316" ht="12.75" customHeight="1">
      <c r="A316" s="51"/>
      <c r="B316" s="51"/>
      <c r="C316" s="50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</row>
    <row r="317" ht="12.75" customHeight="1">
      <c r="A317" s="51"/>
      <c r="B317" s="51"/>
      <c r="C317" s="50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</row>
    <row r="318" ht="12.75" customHeight="1">
      <c r="A318" s="51"/>
      <c r="B318" s="51"/>
      <c r="C318" s="50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</row>
    <row r="319" ht="12.75" customHeight="1">
      <c r="A319" s="51"/>
      <c r="B319" s="51"/>
      <c r="C319" s="50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</row>
    <row r="320" ht="12.75" customHeight="1">
      <c r="A320" s="51"/>
      <c r="B320" s="51"/>
      <c r="C320" s="50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</row>
    <row r="321" ht="12.75" customHeight="1">
      <c r="A321" s="51"/>
      <c r="B321" s="51"/>
      <c r="C321" s="50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</row>
    <row r="322" ht="12.75" customHeight="1">
      <c r="A322" s="51"/>
      <c r="B322" s="51"/>
      <c r="C322" s="50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</row>
    <row r="323" ht="12.75" customHeight="1">
      <c r="A323" s="51"/>
      <c r="B323" s="51"/>
      <c r="C323" s="50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</row>
    <row r="324" ht="12.75" customHeight="1">
      <c r="A324" s="51"/>
      <c r="B324" s="51"/>
      <c r="C324" s="50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</row>
    <row r="325" ht="12.75" customHeight="1">
      <c r="A325" s="51"/>
      <c r="B325" s="51"/>
      <c r="C325" s="50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</row>
    <row r="326" ht="12.75" customHeight="1">
      <c r="A326" s="51"/>
      <c r="B326" s="51"/>
      <c r="C326" s="50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</row>
    <row r="327" ht="12.75" customHeight="1">
      <c r="A327" s="51"/>
      <c r="B327" s="51"/>
      <c r="C327" s="50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</row>
    <row r="328" ht="12.75" customHeight="1">
      <c r="A328" s="51"/>
      <c r="B328" s="51"/>
      <c r="C328" s="50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</row>
    <row r="329" ht="12.75" customHeight="1">
      <c r="A329" s="51"/>
      <c r="B329" s="51"/>
      <c r="C329" s="50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</row>
    <row r="330" ht="12.75" customHeight="1">
      <c r="A330" s="51"/>
      <c r="B330" s="51"/>
      <c r="C330" s="50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</row>
    <row r="331" ht="12.75" customHeight="1">
      <c r="A331" s="51"/>
      <c r="B331" s="51"/>
      <c r="C331" s="50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</row>
    <row r="332" ht="12.75" customHeight="1">
      <c r="A332" s="51"/>
      <c r="B332" s="51"/>
      <c r="C332" s="50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</row>
    <row r="333" ht="12.75" customHeight="1">
      <c r="A333" s="51"/>
      <c r="B333" s="51"/>
      <c r="C333" s="50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</row>
    <row r="334" ht="12.75" customHeight="1">
      <c r="A334" s="51"/>
      <c r="B334" s="51"/>
      <c r="C334" s="50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</row>
    <row r="335" ht="12.75" customHeight="1">
      <c r="A335" s="51"/>
      <c r="B335" s="51"/>
      <c r="C335" s="50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</row>
    <row r="336" ht="12.75" customHeight="1">
      <c r="A336" s="51"/>
      <c r="B336" s="51"/>
      <c r="C336" s="50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</row>
    <row r="337" ht="12.75" customHeight="1">
      <c r="A337" s="51"/>
      <c r="B337" s="51"/>
      <c r="C337" s="50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</row>
    <row r="338" ht="12.75" customHeight="1">
      <c r="A338" s="51"/>
      <c r="B338" s="51"/>
      <c r="C338" s="50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</row>
    <row r="339" ht="12.75" customHeight="1">
      <c r="A339" s="51"/>
      <c r="B339" s="51"/>
      <c r="C339" s="50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</row>
    <row r="340" ht="12.75" customHeight="1">
      <c r="A340" s="51"/>
      <c r="B340" s="51"/>
      <c r="C340" s="50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</row>
    <row r="341" ht="12.75" customHeight="1">
      <c r="A341" s="51"/>
      <c r="B341" s="51"/>
      <c r="C341" s="50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</row>
    <row r="342" ht="12.75" customHeight="1">
      <c r="A342" s="51"/>
      <c r="B342" s="51"/>
      <c r="C342" s="50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</row>
    <row r="343" ht="12.75" customHeight="1">
      <c r="A343" s="51"/>
      <c r="B343" s="51"/>
      <c r="C343" s="50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</row>
    <row r="344" ht="12.75" customHeight="1">
      <c r="A344" s="51"/>
      <c r="B344" s="51"/>
      <c r="C344" s="50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</row>
    <row r="345" ht="12.75" customHeight="1">
      <c r="A345" s="51"/>
      <c r="B345" s="51"/>
      <c r="C345" s="50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</row>
    <row r="346" ht="12.75" customHeight="1">
      <c r="A346" s="51"/>
      <c r="B346" s="51"/>
      <c r="C346" s="50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</row>
    <row r="347" ht="12.75" customHeight="1">
      <c r="A347" s="51"/>
      <c r="B347" s="51"/>
      <c r="C347" s="50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</row>
    <row r="348" ht="12.75" customHeight="1">
      <c r="A348" s="51"/>
      <c r="B348" s="51"/>
      <c r="C348" s="50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</row>
    <row r="349" ht="12.75" customHeight="1">
      <c r="A349" s="51"/>
      <c r="B349" s="51"/>
      <c r="C349" s="50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</row>
    <row r="350" ht="12.75" customHeight="1">
      <c r="A350" s="51"/>
      <c r="B350" s="51"/>
      <c r="C350" s="50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</row>
    <row r="351" ht="12.75" customHeight="1">
      <c r="A351" s="51"/>
      <c r="B351" s="51"/>
      <c r="C351" s="50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</row>
    <row r="352" ht="12.75" customHeight="1">
      <c r="A352" s="51"/>
      <c r="B352" s="51"/>
      <c r="C352" s="50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</row>
    <row r="353" ht="12.75" customHeight="1">
      <c r="A353" s="51"/>
      <c r="B353" s="51"/>
      <c r="C353" s="50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</row>
    <row r="354" ht="12.75" customHeight="1">
      <c r="A354" s="51"/>
      <c r="B354" s="51"/>
      <c r="C354" s="50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</row>
    <row r="355" ht="12.75" customHeight="1">
      <c r="A355" s="51"/>
      <c r="B355" s="51"/>
      <c r="C355" s="50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</row>
    <row r="356" ht="12.75" customHeight="1">
      <c r="A356" s="51"/>
      <c r="B356" s="51"/>
      <c r="C356" s="50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</row>
    <row r="357" ht="12.75" customHeight="1">
      <c r="A357" s="51"/>
      <c r="B357" s="51"/>
      <c r="C357" s="50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</row>
    <row r="358" ht="12.75" customHeight="1">
      <c r="A358" s="51"/>
      <c r="B358" s="51"/>
      <c r="C358" s="50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</row>
    <row r="359" ht="12.75" customHeight="1">
      <c r="A359" s="51"/>
      <c r="B359" s="51"/>
      <c r="C359" s="50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</row>
    <row r="360" ht="12.75" customHeight="1">
      <c r="A360" s="51"/>
      <c r="B360" s="51"/>
      <c r="C360" s="50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</row>
    <row r="361" ht="12.75" customHeight="1">
      <c r="A361" s="51"/>
      <c r="B361" s="51"/>
      <c r="C361" s="50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</row>
    <row r="362" ht="12.75" customHeight="1">
      <c r="A362" s="51"/>
      <c r="B362" s="51"/>
      <c r="C362" s="50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</row>
    <row r="363" ht="12.75" customHeight="1">
      <c r="A363" s="51"/>
      <c r="B363" s="51"/>
      <c r="C363" s="50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</row>
    <row r="364" ht="12.75" customHeight="1">
      <c r="A364" s="51"/>
      <c r="B364" s="51"/>
      <c r="C364" s="50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</row>
    <row r="365" ht="12.75" customHeight="1">
      <c r="A365" s="51"/>
      <c r="B365" s="51"/>
      <c r="C365" s="50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</row>
    <row r="366" ht="12.75" customHeight="1">
      <c r="A366" s="51"/>
      <c r="B366" s="51"/>
      <c r="C366" s="50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</row>
    <row r="367" ht="12.75" customHeight="1">
      <c r="A367" s="51"/>
      <c r="B367" s="51"/>
      <c r="C367" s="50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</row>
    <row r="368" ht="12.75" customHeight="1">
      <c r="A368" s="51"/>
      <c r="B368" s="51"/>
      <c r="C368" s="50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</row>
    <row r="369" ht="12.75" customHeight="1">
      <c r="A369" s="51"/>
      <c r="B369" s="51"/>
      <c r="C369" s="50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</row>
    <row r="370" ht="12.75" customHeight="1">
      <c r="A370" s="51"/>
      <c r="B370" s="51"/>
      <c r="C370" s="50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</row>
    <row r="371" ht="12.75" customHeight="1">
      <c r="A371" s="51"/>
      <c r="B371" s="51"/>
      <c r="C371" s="50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</row>
    <row r="372" ht="12.75" customHeight="1">
      <c r="A372" s="51"/>
      <c r="B372" s="51"/>
      <c r="C372" s="50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</row>
    <row r="373" ht="12.75" customHeight="1">
      <c r="A373" s="51"/>
      <c r="B373" s="51"/>
      <c r="C373" s="50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</row>
    <row r="374" ht="12.75" customHeight="1">
      <c r="A374" s="51"/>
      <c r="B374" s="51"/>
      <c r="C374" s="50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</row>
    <row r="375" ht="12.75" customHeight="1">
      <c r="A375" s="51"/>
      <c r="B375" s="51"/>
      <c r="C375" s="50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</row>
    <row r="376" ht="12.75" customHeight="1">
      <c r="A376" s="51"/>
      <c r="B376" s="51"/>
      <c r="C376" s="50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</row>
    <row r="377" ht="12.75" customHeight="1">
      <c r="A377" s="51"/>
      <c r="B377" s="51"/>
      <c r="C377" s="50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</row>
    <row r="378" ht="12.75" customHeight="1">
      <c r="A378" s="51"/>
      <c r="B378" s="51"/>
      <c r="C378" s="50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</row>
    <row r="379" ht="12.75" customHeight="1">
      <c r="A379" s="51"/>
      <c r="B379" s="51"/>
      <c r="C379" s="50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</row>
    <row r="380" ht="12.75" customHeight="1">
      <c r="A380" s="51"/>
      <c r="B380" s="51"/>
      <c r="C380" s="50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</row>
    <row r="381" ht="12.75" customHeight="1">
      <c r="A381" s="51"/>
      <c r="B381" s="51"/>
      <c r="C381" s="50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</row>
    <row r="382" ht="12.75" customHeight="1">
      <c r="A382" s="51"/>
      <c r="B382" s="51"/>
      <c r="C382" s="50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</row>
    <row r="383" ht="12.75" customHeight="1">
      <c r="A383" s="51"/>
      <c r="B383" s="51"/>
      <c r="C383" s="50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</row>
    <row r="384" ht="12.75" customHeight="1">
      <c r="A384" s="51"/>
      <c r="B384" s="51"/>
      <c r="C384" s="50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</row>
    <row r="385" ht="12.75" customHeight="1">
      <c r="A385" s="51"/>
      <c r="B385" s="51"/>
      <c r="C385" s="50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</row>
    <row r="386" ht="12.75" customHeight="1">
      <c r="A386" s="51"/>
      <c r="B386" s="51"/>
      <c r="C386" s="50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</row>
    <row r="387" ht="12.75" customHeight="1">
      <c r="A387" s="51"/>
      <c r="B387" s="51"/>
      <c r="C387" s="50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</row>
    <row r="388" ht="12.75" customHeight="1">
      <c r="A388" s="51"/>
      <c r="B388" s="51"/>
      <c r="C388" s="50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</row>
    <row r="389" ht="12.75" customHeight="1">
      <c r="A389" s="51"/>
      <c r="B389" s="51"/>
      <c r="C389" s="50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</row>
    <row r="390" ht="12.75" customHeight="1">
      <c r="A390" s="51"/>
      <c r="B390" s="51"/>
      <c r="C390" s="50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</row>
    <row r="391" ht="12.75" customHeight="1">
      <c r="A391" s="51"/>
      <c r="B391" s="51"/>
      <c r="C391" s="50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</row>
    <row r="392" ht="12.75" customHeight="1">
      <c r="A392" s="51"/>
      <c r="B392" s="51"/>
      <c r="C392" s="50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</row>
    <row r="393" ht="12.75" customHeight="1">
      <c r="A393" s="51"/>
      <c r="B393" s="51"/>
      <c r="C393" s="50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</row>
    <row r="394" ht="12.75" customHeight="1">
      <c r="A394" s="51"/>
      <c r="B394" s="51"/>
      <c r="C394" s="50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</row>
    <row r="395" ht="12.75" customHeight="1">
      <c r="A395" s="51"/>
      <c r="B395" s="51"/>
      <c r="C395" s="50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</row>
    <row r="396" ht="12.75" customHeight="1">
      <c r="A396" s="51"/>
      <c r="B396" s="51"/>
      <c r="C396" s="50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</row>
    <row r="397" ht="12.75" customHeight="1">
      <c r="A397" s="51"/>
      <c r="B397" s="51"/>
      <c r="C397" s="50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</row>
    <row r="398" ht="12.75" customHeight="1">
      <c r="A398" s="51"/>
      <c r="B398" s="51"/>
      <c r="C398" s="50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</row>
    <row r="399" ht="12.75" customHeight="1">
      <c r="A399" s="51"/>
      <c r="B399" s="51"/>
      <c r="C399" s="50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</row>
    <row r="400" ht="12.75" customHeight="1">
      <c r="A400" s="51"/>
      <c r="B400" s="51"/>
      <c r="C400" s="50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</row>
    <row r="401" ht="12.75" customHeight="1">
      <c r="A401" s="51"/>
      <c r="B401" s="51"/>
      <c r="C401" s="50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</row>
    <row r="402" ht="12.75" customHeight="1">
      <c r="A402" s="51"/>
      <c r="B402" s="51"/>
      <c r="C402" s="50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</row>
    <row r="403" ht="12.75" customHeight="1">
      <c r="A403" s="51"/>
      <c r="B403" s="51"/>
      <c r="C403" s="50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</row>
    <row r="404" ht="12.75" customHeight="1">
      <c r="A404" s="51"/>
      <c r="B404" s="51"/>
      <c r="C404" s="50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</row>
    <row r="405" ht="12.75" customHeight="1">
      <c r="A405" s="51"/>
      <c r="B405" s="51"/>
      <c r="C405" s="50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</row>
    <row r="406" ht="12.75" customHeight="1">
      <c r="A406" s="51"/>
      <c r="B406" s="51"/>
      <c r="C406" s="50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</row>
    <row r="407" ht="12.75" customHeight="1">
      <c r="A407" s="51"/>
      <c r="B407" s="51"/>
      <c r="C407" s="50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</row>
    <row r="408" ht="12.75" customHeight="1">
      <c r="A408" s="51"/>
      <c r="B408" s="51"/>
      <c r="C408" s="50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</row>
    <row r="409" ht="12.75" customHeight="1">
      <c r="A409" s="51"/>
      <c r="B409" s="51"/>
      <c r="C409" s="50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</row>
    <row r="410" ht="12.75" customHeight="1">
      <c r="A410" s="51"/>
      <c r="B410" s="51"/>
      <c r="C410" s="50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</row>
    <row r="411" ht="12.75" customHeight="1">
      <c r="A411" s="51"/>
      <c r="B411" s="51"/>
      <c r="C411" s="50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</row>
    <row r="412" ht="12.75" customHeight="1">
      <c r="A412" s="51"/>
      <c r="B412" s="51"/>
      <c r="C412" s="50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</row>
    <row r="413" ht="12.75" customHeight="1">
      <c r="A413" s="51"/>
      <c r="B413" s="51"/>
      <c r="C413" s="50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</row>
    <row r="414" ht="12.75" customHeight="1">
      <c r="A414" s="51"/>
      <c r="B414" s="51"/>
      <c r="C414" s="50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</row>
    <row r="415" ht="12.75" customHeight="1">
      <c r="A415" s="51"/>
      <c r="B415" s="51"/>
      <c r="C415" s="50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</row>
    <row r="416" ht="12.75" customHeight="1">
      <c r="A416" s="51"/>
      <c r="B416" s="51"/>
      <c r="C416" s="50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</row>
    <row r="417" ht="12.75" customHeight="1">
      <c r="A417" s="51"/>
      <c r="B417" s="51"/>
      <c r="C417" s="50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</row>
    <row r="418" ht="12.75" customHeight="1">
      <c r="A418" s="51"/>
      <c r="B418" s="51"/>
      <c r="C418" s="50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</row>
    <row r="419" ht="12.75" customHeight="1">
      <c r="A419" s="51"/>
      <c r="B419" s="51"/>
      <c r="C419" s="50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</row>
    <row r="420" ht="12.75" customHeight="1">
      <c r="A420" s="51"/>
      <c r="B420" s="51"/>
      <c r="C420" s="50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</row>
    <row r="421" ht="12.75" customHeight="1">
      <c r="A421" s="51"/>
      <c r="B421" s="51"/>
      <c r="C421" s="50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</row>
    <row r="422" ht="12.75" customHeight="1">
      <c r="A422" s="51"/>
      <c r="B422" s="51"/>
      <c r="C422" s="50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</row>
    <row r="423" ht="12.75" customHeight="1">
      <c r="A423" s="51"/>
      <c r="B423" s="51"/>
      <c r="C423" s="50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</row>
    <row r="424" ht="12.75" customHeight="1">
      <c r="A424" s="51"/>
      <c r="B424" s="51"/>
      <c r="C424" s="50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</row>
    <row r="425" ht="12.75" customHeight="1">
      <c r="A425" s="51"/>
      <c r="B425" s="51"/>
      <c r="C425" s="50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</row>
    <row r="426" ht="12.75" customHeight="1">
      <c r="A426" s="51"/>
      <c r="B426" s="51"/>
      <c r="C426" s="50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</row>
    <row r="427" ht="12.75" customHeight="1">
      <c r="A427" s="51"/>
      <c r="B427" s="51"/>
      <c r="C427" s="50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</row>
    <row r="428" ht="12.75" customHeight="1">
      <c r="A428" s="51"/>
      <c r="B428" s="51"/>
      <c r="C428" s="50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</row>
    <row r="429" ht="12.75" customHeight="1">
      <c r="A429" s="51"/>
      <c r="B429" s="51"/>
      <c r="C429" s="50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</row>
    <row r="430" ht="12.75" customHeight="1">
      <c r="A430" s="51"/>
      <c r="B430" s="51"/>
      <c r="C430" s="50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</row>
    <row r="431" ht="12.75" customHeight="1">
      <c r="A431" s="51"/>
      <c r="B431" s="51"/>
      <c r="C431" s="50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</row>
    <row r="432" ht="12.75" customHeight="1">
      <c r="A432" s="51"/>
      <c r="B432" s="51"/>
      <c r="C432" s="50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</row>
    <row r="433" ht="12.75" customHeight="1">
      <c r="A433" s="51"/>
      <c r="B433" s="51"/>
      <c r="C433" s="50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</row>
    <row r="434" ht="12.75" customHeight="1">
      <c r="A434" s="51"/>
      <c r="B434" s="51"/>
      <c r="C434" s="50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</row>
    <row r="435" ht="12.75" customHeight="1">
      <c r="A435" s="51"/>
      <c r="B435" s="51"/>
      <c r="C435" s="50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</row>
    <row r="436" ht="12.75" customHeight="1">
      <c r="A436" s="51"/>
      <c r="B436" s="51"/>
      <c r="C436" s="50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</row>
    <row r="437" ht="12.75" customHeight="1">
      <c r="A437" s="51"/>
      <c r="B437" s="51"/>
      <c r="C437" s="50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</row>
    <row r="438" ht="12.75" customHeight="1">
      <c r="A438" s="51"/>
      <c r="B438" s="51"/>
      <c r="C438" s="50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</row>
    <row r="439" ht="12.75" customHeight="1">
      <c r="A439" s="51"/>
      <c r="B439" s="51"/>
      <c r="C439" s="50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</row>
    <row r="440" ht="12.75" customHeight="1">
      <c r="A440" s="51"/>
      <c r="B440" s="51"/>
      <c r="C440" s="50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</row>
    <row r="441" ht="12.75" customHeight="1">
      <c r="A441" s="51"/>
      <c r="B441" s="51"/>
      <c r="C441" s="50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</row>
    <row r="442" ht="12.75" customHeight="1">
      <c r="A442" s="51"/>
      <c r="B442" s="51"/>
      <c r="C442" s="50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</row>
    <row r="443" ht="12.75" customHeight="1">
      <c r="A443" s="51"/>
      <c r="B443" s="51"/>
      <c r="C443" s="50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</row>
    <row r="444" ht="12.75" customHeight="1">
      <c r="A444" s="51"/>
      <c r="B444" s="51"/>
      <c r="C444" s="50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</row>
    <row r="445" ht="12.75" customHeight="1">
      <c r="A445" s="51"/>
      <c r="B445" s="51"/>
      <c r="C445" s="50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</row>
    <row r="446" ht="12.75" customHeight="1">
      <c r="A446" s="51"/>
      <c r="B446" s="51"/>
      <c r="C446" s="50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</row>
    <row r="447" ht="12.75" customHeight="1">
      <c r="A447" s="51"/>
      <c r="B447" s="51"/>
      <c r="C447" s="50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</row>
    <row r="448" ht="12.75" customHeight="1">
      <c r="A448" s="51"/>
      <c r="B448" s="51"/>
      <c r="C448" s="50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</row>
    <row r="449" ht="12.75" customHeight="1">
      <c r="A449" s="51"/>
      <c r="B449" s="51"/>
      <c r="C449" s="50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</row>
    <row r="450" ht="12.75" customHeight="1">
      <c r="A450" s="51"/>
      <c r="B450" s="51"/>
      <c r="C450" s="50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</row>
    <row r="451" ht="12.75" customHeight="1">
      <c r="A451" s="51"/>
      <c r="B451" s="51"/>
      <c r="C451" s="50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</row>
    <row r="452" ht="12.75" customHeight="1">
      <c r="A452" s="51"/>
      <c r="B452" s="51"/>
      <c r="C452" s="50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</row>
    <row r="453" ht="12.75" customHeight="1">
      <c r="A453" s="51"/>
      <c r="B453" s="51"/>
      <c r="C453" s="50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</row>
    <row r="454" ht="12.75" customHeight="1">
      <c r="A454" s="51"/>
      <c r="B454" s="51"/>
      <c r="C454" s="50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</row>
    <row r="455" ht="12.75" customHeight="1">
      <c r="A455" s="51"/>
      <c r="B455" s="51"/>
      <c r="C455" s="50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</row>
    <row r="456" ht="12.75" customHeight="1">
      <c r="A456" s="51"/>
      <c r="B456" s="51"/>
      <c r="C456" s="50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</row>
    <row r="457" ht="12.75" customHeight="1">
      <c r="A457" s="51"/>
      <c r="B457" s="51"/>
      <c r="C457" s="50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</row>
    <row r="458" ht="12.75" customHeight="1">
      <c r="A458" s="51"/>
      <c r="B458" s="51"/>
      <c r="C458" s="50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</row>
    <row r="459" ht="12.75" customHeight="1">
      <c r="A459" s="51"/>
      <c r="B459" s="51"/>
      <c r="C459" s="50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</row>
    <row r="460" ht="12.75" customHeight="1">
      <c r="A460" s="51"/>
      <c r="B460" s="51"/>
      <c r="C460" s="50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</row>
    <row r="461" ht="12.75" customHeight="1">
      <c r="A461" s="51"/>
      <c r="B461" s="51"/>
      <c r="C461" s="50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</row>
    <row r="462" ht="12.75" customHeight="1">
      <c r="A462" s="51"/>
      <c r="B462" s="51"/>
      <c r="C462" s="50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</row>
    <row r="463" ht="12.75" customHeight="1">
      <c r="A463" s="51"/>
      <c r="B463" s="51"/>
      <c r="C463" s="50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</row>
    <row r="464" ht="12.75" customHeight="1">
      <c r="A464" s="51"/>
      <c r="B464" s="51"/>
      <c r="C464" s="50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</row>
    <row r="465" ht="12.75" customHeight="1">
      <c r="A465" s="51"/>
      <c r="B465" s="51"/>
      <c r="C465" s="50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</row>
    <row r="466" ht="12.75" customHeight="1">
      <c r="A466" s="51"/>
      <c r="B466" s="51"/>
      <c r="C466" s="50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</row>
    <row r="467" ht="12.75" customHeight="1">
      <c r="A467" s="51"/>
      <c r="B467" s="51"/>
      <c r="C467" s="50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</row>
    <row r="468" ht="12.75" customHeight="1">
      <c r="A468" s="51"/>
      <c r="B468" s="51"/>
      <c r="C468" s="50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</row>
    <row r="469" ht="12.75" customHeight="1">
      <c r="A469" s="51"/>
      <c r="B469" s="51"/>
      <c r="C469" s="50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</row>
    <row r="470" ht="12.75" customHeight="1">
      <c r="A470" s="51"/>
      <c r="B470" s="51"/>
      <c r="C470" s="50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</row>
    <row r="471" ht="12.75" customHeight="1">
      <c r="A471" s="51"/>
      <c r="B471" s="51"/>
      <c r="C471" s="50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</row>
    <row r="472" ht="12.75" customHeight="1">
      <c r="A472" s="51"/>
      <c r="B472" s="51"/>
      <c r="C472" s="50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</row>
    <row r="473" ht="12.75" customHeight="1">
      <c r="A473" s="51"/>
      <c r="B473" s="51"/>
      <c r="C473" s="50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</row>
    <row r="474" ht="12.75" customHeight="1">
      <c r="A474" s="51"/>
      <c r="B474" s="51"/>
      <c r="C474" s="50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</row>
    <row r="475" ht="12.75" customHeight="1">
      <c r="A475" s="51"/>
      <c r="B475" s="51"/>
      <c r="C475" s="50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</row>
    <row r="476" ht="12.75" customHeight="1">
      <c r="A476" s="51"/>
      <c r="B476" s="51"/>
      <c r="C476" s="50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</row>
    <row r="477" ht="12.75" customHeight="1">
      <c r="A477" s="51"/>
      <c r="B477" s="51"/>
      <c r="C477" s="50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</row>
    <row r="478" ht="12.75" customHeight="1">
      <c r="A478" s="51"/>
      <c r="B478" s="51"/>
      <c r="C478" s="50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</row>
    <row r="479" ht="12.75" customHeight="1">
      <c r="A479" s="51"/>
      <c r="B479" s="51"/>
      <c r="C479" s="50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</row>
    <row r="480" ht="12.75" customHeight="1">
      <c r="A480" s="51"/>
      <c r="B480" s="51"/>
      <c r="C480" s="50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</row>
    <row r="481" ht="12.75" customHeight="1">
      <c r="A481" s="51"/>
      <c r="B481" s="51"/>
      <c r="C481" s="50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</row>
    <row r="482" ht="12.75" customHeight="1">
      <c r="A482" s="51"/>
      <c r="B482" s="51"/>
      <c r="C482" s="50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</row>
    <row r="483" ht="12.75" customHeight="1">
      <c r="A483" s="51"/>
      <c r="B483" s="51"/>
      <c r="C483" s="50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</row>
    <row r="484" ht="12.75" customHeight="1">
      <c r="A484" s="51"/>
      <c r="B484" s="51"/>
      <c r="C484" s="50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</row>
    <row r="485" ht="12.75" customHeight="1">
      <c r="A485" s="51"/>
      <c r="B485" s="51"/>
      <c r="C485" s="50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</row>
    <row r="486" ht="12.75" customHeight="1">
      <c r="A486" s="51"/>
      <c r="B486" s="51"/>
      <c r="C486" s="50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</row>
    <row r="487" ht="12.75" customHeight="1">
      <c r="A487" s="51"/>
      <c r="B487" s="51"/>
      <c r="C487" s="50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</row>
    <row r="488" ht="12.75" customHeight="1">
      <c r="A488" s="51"/>
      <c r="B488" s="51"/>
      <c r="C488" s="50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</row>
    <row r="489" ht="12.75" customHeight="1">
      <c r="A489" s="51"/>
      <c r="B489" s="51"/>
      <c r="C489" s="50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</row>
    <row r="490" ht="12.75" customHeight="1">
      <c r="A490" s="51"/>
      <c r="B490" s="51"/>
      <c r="C490" s="50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</row>
    <row r="491" ht="12.75" customHeight="1">
      <c r="A491" s="51"/>
      <c r="B491" s="51"/>
      <c r="C491" s="50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</row>
    <row r="492" ht="12.75" customHeight="1">
      <c r="A492" s="51"/>
      <c r="B492" s="51"/>
      <c r="C492" s="50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</row>
    <row r="493" ht="12.75" customHeight="1">
      <c r="A493" s="51"/>
      <c r="B493" s="51"/>
      <c r="C493" s="50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</row>
    <row r="494" ht="12.75" customHeight="1">
      <c r="A494" s="51"/>
      <c r="B494" s="51"/>
      <c r="C494" s="50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</row>
    <row r="495" ht="12.75" customHeight="1">
      <c r="A495" s="51"/>
      <c r="B495" s="51"/>
      <c r="C495" s="50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</row>
    <row r="496" ht="12.75" customHeight="1">
      <c r="A496" s="51"/>
      <c r="B496" s="51"/>
      <c r="C496" s="50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</row>
    <row r="497" ht="12.75" customHeight="1">
      <c r="A497" s="51"/>
      <c r="B497" s="51"/>
      <c r="C497" s="50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</row>
    <row r="498" ht="12.75" customHeight="1">
      <c r="A498" s="51"/>
      <c r="B498" s="51"/>
      <c r="C498" s="50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</row>
    <row r="499" ht="12.75" customHeight="1">
      <c r="A499" s="51"/>
      <c r="B499" s="51"/>
      <c r="C499" s="50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</row>
    <row r="500" ht="12.75" customHeight="1">
      <c r="A500" s="51"/>
      <c r="B500" s="51"/>
      <c r="C500" s="50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</row>
    <row r="501" ht="12.75" customHeight="1">
      <c r="A501" s="51"/>
      <c r="B501" s="51"/>
      <c r="C501" s="50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</row>
    <row r="502" ht="12.75" customHeight="1">
      <c r="A502" s="51"/>
      <c r="B502" s="51"/>
      <c r="C502" s="50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</row>
    <row r="503" ht="12.75" customHeight="1">
      <c r="A503" s="51"/>
      <c r="B503" s="51"/>
      <c r="C503" s="50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</row>
    <row r="504" ht="12.75" customHeight="1">
      <c r="A504" s="51"/>
      <c r="B504" s="51"/>
      <c r="C504" s="50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</row>
    <row r="505" ht="12.75" customHeight="1">
      <c r="A505" s="51"/>
      <c r="B505" s="51"/>
      <c r="C505" s="50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</row>
    <row r="506" ht="12.75" customHeight="1">
      <c r="A506" s="51"/>
      <c r="B506" s="51"/>
      <c r="C506" s="50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</row>
    <row r="507" ht="12.75" customHeight="1">
      <c r="A507" s="51"/>
      <c r="B507" s="51"/>
      <c r="C507" s="50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</row>
    <row r="508" ht="12.75" customHeight="1">
      <c r="A508" s="51"/>
      <c r="B508" s="51"/>
      <c r="C508" s="50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</row>
    <row r="509" ht="12.75" customHeight="1">
      <c r="A509" s="51"/>
      <c r="B509" s="51"/>
      <c r="C509" s="50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</row>
    <row r="510" ht="12.75" customHeight="1">
      <c r="A510" s="51"/>
      <c r="B510" s="51"/>
      <c r="C510" s="50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</row>
    <row r="511" ht="12.75" customHeight="1">
      <c r="A511" s="51"/>
      <c r="B511" s="51"/>
      <c r="C511" s="50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</row>
    <row r="512" ht="12.75" customHeight="1">
      <c r="A512" s="51"/>
      <c r="B512" s="51"/>
      <c r="C512" s="50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</row>
    <row r="513" ht="12.75" customHeight="1">
      <c r="A513" s="51"/>
      <c r="B513" s="51"/>
      <c r="C513" s="50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</row>
    <row r="514" ht="12.75" customHeight="1">
      <c r="A514" s="51"/>
      <c r="B514" s="51"/>
      <c r="C514" s="50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</row>
    <row r="515" ht="12.75" customHeight="1">
      <c r="A515" s="51"/>
      <c r="B515" s="51"/>
      <c r="C515" s="50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</row>
    <row r="516" ht="12.75" customHeight="1">
      <c r="A516" s="51"/>
      <c r="B516" s="51"/>
      <c r="C516" s="50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</row>
    <row r="517" ht="12.75" customHeight="1">
      <c r="A517" s="51"/>
      <c r="B517" s="51"/>
      <c r="C517" s="50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</row>
    <row r="518" ht="12.75" customHeight="1">
      <c r="A518" s="51"/>
      <c r="B518" s="51"/>
      <c r="C518" s="50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</row>
    <row r="519" ht="12.75" customHeight="1">
      <c r="A519" s="51"/>
      <c r="B519" s="51"/>
      <c r="C519" s="50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</row>
    <row r="520" ht="12.75" customHeight="1">
      <c r="A520" s="51"/>
      <c r="B520" s="51"/>
      <c r="C520" s="50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</row>
    <row r="521" ht="12.75" customHeight="1">
      <c r="A521" s="51"/>
      <c r="B521" s="51"/>
      <c r="C521" s="50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</row>
    <row r="522" ht="12.75" customHeight="1">
      <c r="A522" s="51"/>
      <c r="B522" s="51"/>
      <c r="C522" s="50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</row>
    <row r="523" ht="12.75" customHeight="1">
      <c r="A523" s="51"/>
      <c r="B523" s="51"/>
      <c r="C523" s="50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</row>
    <row r="524" ht="12.75" customHeight="1">
      <c r="A524" s="51"/>
      <c r="B524" s="51"/>
      <c r="C524" s="50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</row>
    <row r="525" ht="12.75" customHeight="1">
      <c r="A525" s="51"/>
      <c r="B525" s="51"/>
      <c r="C525" s="50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</row>
    <row r="526" ht="12.75" customHeight="1">
      <c r="A526" s="51"/>
      <c r="B526" s="51"/>
      <c r="C526" s="50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</row>
    <row r="527" ht="12.75" customHeight="1">
      <c r="A527" s="51"/>
      <c r="B527" s="51"/>
      <c r="C527" s="50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</row>
    <row r="528" ht="12.75" customHeight="1">
      <c r="A528" s="51"/>
      <c r="B528" s="51"/>
      <c r="C528" s="50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</row>
    <row r="529" ht="12.75" customHeight="1">
      <c r="A529" s="51"/>
      <c r="B529" s="51"/>
      <c r="C529" s="50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</row>
    <row r="530" ht="12.75" customHeight="1">
      <c r="A530" s="51"/>
      <c r="B530" s="51"/>
      <c r="C530" s="50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</row>
    <row r="531" ht="12.75" customHeight="1">
      <c r="A531" s="51"/>
      <c r="B531" s="51"/>
      <c r="C531" s="50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</row>
    <row r="532" ht="12.75" customHeight="1">
      <c r="A532" s="51"/>
      <c r="B532" s="51"/>
      <c r="C532" s="50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</row>
    <row r="533" ht="12.75" customHeight="1">
      <c r="A533" s="51"/>
      <c r="B533" s="51"/>
      <c r="C533" s="50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</row>
    <row r="534" ht="12.75" customHeight="1">
      <c r="A534" s="51"/>
      <c r="B534" s="51"/>
      <c r="C534" s="50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</row>
    <row r="535" ht="12.75" customHeight="1">
      <c r="A535" s="51"/>
      <c r="B535" s="51"/>
      <c r="C535" s="50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</row>
    <row r="536" ht="12.75" customHeight="1">
      <c r="A536" s="51"/>
      <c r="B536" s="51"/>
      <c r="C536" s="50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</row>
    <row r="537" ht="12.75" customHeight="1">
      <c r="A537" s="51"/>
      <c r="B537" s="51"/>
      <c r="C537" s="50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</row>
    <row r="538" ht="12.75" customHeight="1">
      <c r="A538" s="51"/>
      <c r="B538" s="51"/>
      <c r="C538" s="50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</row>
    <row r="539" ht="12.75" customHeight="1">
      <c r="A539" s="51"/>
      <c r="B539" s="51"/>
      <c r="C539" s="50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</row>
    <row r="540" ht="12.75" customHeight="1">
      <c r="A540" s="51"/>
      <c r="B540" s="51"/>
      <c r="C540" s="50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</row>
    <row r="541" ht="12.75" customHeight="1">
      <c r="A541" s="51"/>
      <c r="B541" s="51"/>
      <c r="C541" s="50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</row>
    <row r="542" ht="12.75" customHeight="1">
      <c r="A542" s="51"/>
      <c r="B542" s="51"/>
      <c r="C542" s="50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</row>
    <row r="543" ht="12.75" customHeight="1">
      <c r="A543" s="51"/>
      <c r="B543" s="51"/>
      <c r="C543" s="50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</row>
    <row r="544" ht="12.75" customHeight="1">
      <c r="A544" s="51"/>
      <c r="B544" s="51"/>
      <c r="C544" s="50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</row>
    <row r="545" ht="12.75" customHeight="1">
      <c r="A545" s="51"/>
      <c r="B545" s="51"/>
      <c r="C545" s="50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</row>
    <row r="546" ht="12.75" customHeight="1">
      <c r="A546" s="51"/>
      <c r="B546" s="51"/>
      <c r="C546" s="50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</row>
    <row r="547" ht="12.75" customHeight="1">
      <c r="A547" s="51"/>
      <c r="B547" s="51"/>
      <c r="C547" s="50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</row>
    <row r="548" ht="12.75" customHeight="1">
      <c r="A548" s="51"/>
      <c r="B548" s="51"/>
      <c r="C548" s="50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</row>
    <row r="549" ht="12.75" customHeight="1">
      <c r="A549" s="51"/>
      <c r="B549" s="51"/>
      <c r="C549" s="50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</row>
    <row r="550" ht="12.75" customHeight="1">
      <c r="A550" s="51"/>
      <c r="B550" s="51"/>
      <c r="C550" s="50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</row>
    <row r="551" ht="12.75" customHeight="1">
      <c r="A551" s="51"/>
      <c r="B551" s="51"/>
      <c r="C551" s="50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</row>
    <row r="552" ht="12.75" customHeight="1">
      <c r="A552" s="51"/>
      <c r="B552" s="51"/>
      <c r="C552" s="50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</row>
    <row r="553" ht="12.75" customHeight="1">
      <c r="A553" s="51"/>
      <c r="B553" s="51"/>
      <c r="C553" s="50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</row>
    <row r="554" ht="12.75" customHeight="1">
      <c r="A554" s="51"/>
      <c r="B554" s="51"/>
      <c r="C554" s="50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</row>
    <row r="555" ht="12.75" customHeight="1">
      <c r="A555" s="51"/>
      <c r="B555" s="51"/>
      <c r="C555" s="50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</row>
    <row r="556" ht="12.75" customHeight="1">
      <c r="A556" s="51"/>
      <c r="B556" s="51"/>
      <c r="C556" s="50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</row>
    <row r="557" ht="12.75" customHeight="1">
      <c r="A557" s="51"/>
      <c r="B557" s="51"/>
      <c r="C557" s="50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</row>
    <row r="558" ht="12.75" customHeight="1">
      <c r="A558" s="51"/>
      <c r="B558" s="51"/>
      <c r="C558" s="50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</row>
    <row r="559" ht="12.75" customHeight="1">
      <c r="A559" s="51"/>
      <c r="B559" s="51"/>
      <c r="C559" s="50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</row>
    <row r="560" ht="12.75" customHeight="1">
      <c r="A560" s="51"/>
      <c r="B560" s="51"/>
      <c r="C560" s="50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</row>
    <row r="561" ht="12.75" customHeight="1">
      <c r="A561" s="51"/>
      <c r="B561" s="51"/>
      <c r="C561" s="50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</row>
    <row r="562" ht="12.75" customHeight="1">
      <c r="A562" s="51"/>
      <c r="B562" s="51"/>
      <c r="C562" s="50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</row>
    <row r="563" ht="12.75" customHeight="1">
      <c r="A563" s="51"/>
      <c r="B563" s="51"/>
      <c r="C563" s="50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</row>
    <row r="564" ht="12.75" customHeight="1">
      <c r="A564" s="51"/>
      <c r="B564" s="51"/>
      <c r="C564" s="50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</row>
    <row r="565" ht="12.75" customHeight="1">
      <c r="A565" s="51"/>
      <c r="B565" s="51"/>
      <c r="C565" s="50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</row>
    <row r="566" ht="12.75" customHeight="1">
      <c r="A566" s="51"/>
      <c r="B566" s="51"/>
      <c r="C566" s="50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</row>
    <row r="567" ht="12.75" customHeight="1">
      <c r="A567" s="51"/>
      <c r="B567" s="51"/>
      <c r="C567" s="50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</row>
    <row r="568" ht="12.75" customHeight="1">
      <c r="A568" s="51"/>
      <c r="B568" s="51"/>
      <c r="C568" s="50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</row>
    <row r="569" ht="12.75" customHeight="1">
      <c r="A569" s="51"/>
      <c r="B569" s="51"/>
      <c r="C569" s="50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</row>
    <row r="570" ht="12.75" customHeight="1">
      <c r="A570" s="51"/>
      <c r="B570" s="51"/>
      <c r="C570" s="50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</row>
    <row r="571" ht="12.75" customHeight="1">
      <c r="A571" s="51"/>
      <c r="B571" s="51"/>
      <c r="C571" s="50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</row>
    <row r="572" ht="12.75" customHeight="1">
      <c r="A572" s="51"/>
      <c r="B572" s="51"/>
      <c r="C572" s="50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</row>
    <row r="573" ht="12.75" customHeight="1">
      <c r="A573" s="51"/>
      <c r="B573" s="51"/>
      <c r="C573" s="50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</row>
    <row r="574" ht="12.75" customHeight="1">
      <c r="A574" s="51"/>
      <c r="B574" s="51"/>
      <c r="C574" s="50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</row>
    <row r="575" ht="12.75" customHeight="1">
      <c r="A575" s="51"/>
      <c r="B575" s="51"/>
      <c r="C575" s="50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</row>
    <row r="576" ht="12.75" customHeight="1">
      <c r="A576" s="51"/>
      <c r="B576" s="51"/>
      <c r="C576" s="50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</row>
    <row r="577" ht="12.75" customHeight="1">
      <c r="A577" s="51"/>
      <c r="B577" s="51"/>
      <c r="C577" s="50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</row>
    <row r="578" ht="12.75" customHeight="1">
      <c r="A578" s="51"/>
      <c r="B578" s="51"/>
      <c r="C578" s="50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</row>
    <row r="579" ht="12.75" customHeight="1">
      <c r="A579" s="51"/>
      <c r="B579" s="51"/>
      <c r="C579" s="50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</row>
    <row r="580" ht="12.75" customHeight="1">
      <c r="A580" s="51"/>
      <c r="B580" s="51"/>
      <c r="C580" s="50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</row>
    <row r="581" ht="12.75" customHeight="1">
      <c r="A581" s="51"/>
      <c r="B581" s="51"/>
      <c r="C581" s="50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</row>
    <row r="582" ht="12.75" customHeight="1">
      <c r="A582" s="51"/>
      <c r="B582" s="51"/>
      <c r="C582" s="50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</row>
    <row r="583" ht="12.75" customHeight="1">
      <c r="A583" s="51"/>
      <c r="B583" s="51"/>
      <c r="C583" s="50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</row>
    <row r="584" ht="12.75" customHeight="1">
      <c r="A584" s="51"/>
      <c r="B584" s="51"/>
      <c r="C584" s="50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</row>
    <row r="585" ht="12.75" customHeight="1">
      <c r="A585" s="51"/>
      <c r="B585" s="51"/>
      <c r="C585" s="50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</row>
    <row r="586" ht="12.75" customHeight="1">
      <c r="A586" s="51"/>
      <c r="B586" s="51"/>
      <c r="C586" s="50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</row>
    <row r="587" ht="12.75" customHeight="1">
      <c r="A587" s="51"/>
      <c r="B587" s="51"/>
      <c r="C587" s="50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</row>
    <row r="588" ht="12.75" customHeight="1">
      <c r="A588" s="51"/>
      <c r="B588" s="51"/>
      <c r="C588" s="50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</row>
    <row r="589" ht="12.75" customHeight="1">
      <c r="A589" s="51"/>
      <c r="B589" s="51"/>
      <c r="C589" s="50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</row>
    <row r="590" ht="12.75" customHeight="1">
      <c r="A590" s="51"/>
      <c r="B590" s="51"/>
      <c r="C590" s="50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</row>
    <row r="591" ht="12.75" customHeight="1">
      <c r="A591" s="51"/>
      <c r="B591" s="51"/>
      <c r="C591" s="50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</row>
    <row r="592" ht="12.75" customHeight="1">
      <c r="A592" s="51"/>
      <c r="B592" s="51"/>
      <c r="C592" s="50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</row>
    <row r="593" ht="12.75" customHeight="1">
      <c r="A593" s="51"/>
      <c r="B593" s="51"/>
      <c r="C593" s="50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</row>
    <row r="594" ht="12.75" customHeight="1">
      <c r="A594" s="51"/>
      <c r="B594" s="51"/>
      <c r="C594" s="50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</row>
    <row r="595" ht="12.75" customHeight="1">
      <c r="A595" s="51"/>
      <c r="B595" s="51"/>
      <c r="C595" s="50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</row>
    <row r="596" ht="12.75" customHeight="1">
      <c r="A596" s="51"/>
      <c r="B596" s="51"/>
      <c r="C596" s="50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</row>
    <row r="597" ht="12.75" customHeight="1">
      <c r="A597" s="51"/>
      <c r="B597" s="51"/>
      <c r="C597" s="50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</row>
    <row r="598" ht="12.75" customHeight="1">
      <c r="A598" s="51"/>
      <c r="B598" s="51"/>
      <c r="C598" s="50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</row>
    <row r="599" ht="12.75" customHeight="1">
      <c r="A599" s="51"/>
      <c r="B599" s="51"/>
      <c r="C599" s="50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</row>
    <row r="600" ht="12.75" customHeight="1">
      <c r="A600" s="51"/>
      <c r="B600" s="51"/>
      <c r="C600" s="50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</row>
    <row r="601" ht="12.75" customHeight="1">
      <c r="A601" s="51"/>
      <c r="B601" s="51"/>
      <c r="C601" s="50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</row>
    <row r="602" ht="12.75" customHeight="1">
      <c r="A602" s="51"/>
      <c r="B602" s="51"/>
      <c r="C602" s="50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</row>
    <row r="603" ht="12.75" customHeight="1">
      <c r="A603" s="51"/>
      <c r="B603" s="51"/>
      <c r="C603" s="50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</row>
    <row r="604" ht="12.75" customHeight="1">
      <c r="A604" s="51"/>
      <c r="B604" s="51"/>
      <c r="C604" s="50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</row>
    <row r="605" ht="12.75" customHeight="1">
      <c r="A605" s="51"/>
      <c r="B605" s="51"/>
      <c r="C605" s="50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</row>
    <row r="606" ht="12.75" customHeight="1">
      <c r="A606" s="51"/>
      <c r="B606" s="51"/>
      <c r="C606" s="50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</row>
    <row r="607" ht="12.75" customHeight="1">
      <c r="A607" s="51"/>
      <c r="B607" s="51"/>
      <c r="C607" s="50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</row>
    <row r="608" ht="12.75" customHeight="1">
      <c r="A608" s="51"/>
      <c r="B608" s="51"/>
      <c r="C608" s="50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</row>
    <row r="609" ht="12.75" customHeight="1">
      <c r="A609" s="51"/>
      <c r="B609" s="51"/>
      <c r="C609" s="50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</row>
    <row r="610" ht="12.75" customHeight="1">
      <c r="A610" s="51"/>
      <c r="B610" s="51"/>
      <c r="C610" s="50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</row>
    <row r="611" ht="12.75" customHeight="1">
      <c r="A611" s="51"/>
      <c r="B611" s="51"/>
      <c r="C611" s="50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</row>
    <row r="612" ht="12.75" customHeight="1">
      <c r="A612" s="51"/>
      <c r="B612" s="51"/>
      <c r="C612" s="50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</row>
    <row r="613" ht="12.75" customHeight="1">
      <c r="A613" s="51"/>
      <c r="B613" s="51"/>
      <c r="C613" s="50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</row>
    <row r="614" ht="12.75" customHeight="1">
      <c r="A614" s="51"/>
      <c r="B614" s="51"/>
      <c r="C614" s="50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</row>
    <row r="615" ht="12.75" customHeight="1">
      <c r="A615" s="51"/>
      <c r="B615" s="51"/>
      <c r="C615" s="50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</row>
    <row r="616" ht="12.75" customHeight="1">
      <c r="A616" s="51"/>
      <c r="B616" s="51"/>
      <c r="C616" s="50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</row>
    <row r="617" ht="12.75" customHeight="1">
      <c r="A617" s="51"/>
      <c r="B617" s="51"/>
      <c r="C617" s="50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</row>
    <row r="618" ht="12.75" customHeight="1">
      <c r="A618" s="51"/>
      <c r="B618" s="51"/>
      <c r="C618" s="50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</row>
    <row r="619" ht="12.75" customHeight="1">
      <c r="A619" s="51"/>
      <c r="B619" s="51"/>
      <c r="C619" s="50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</row>
    <row r="620" ht="12.75" customHeight="1">
      <c r="A620" s="51"/>
      <c r="B620" s="51"/>
      <c r="C620" s="50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</row>
    <row r="621" ht="12.75" customHeight="1">
      <c r="A621" s="51"/>
      <c r="B621" s="51"/>
      <c r="C621" s="50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</row>
    <row r="622" ht="12.75" customHeight="1">
      <c r="A622" s="51"/>
      <c r="B622" s="51"/>
      <c r="C622" s="50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</row>
    <row r="623" ht="12.75" customHeight="1">
      <c r="A623" s="51"/>
      <c r="B623" s="51"/>
      <c r="C623" s="50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</row>
    <row r="624" ht="12.75" customHeight="1">
      <c r="A624" s="51"/>
      <c r="B624" s="51"/>
      <c r="C624" s="50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</row>
    <row r="625" ht="12.75" customHeight="1">
      <c r="A625" s="51"/>
      <c r="B625" s="51"/>
      <c r="C625" s="50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</row>
    <row r="626" ht="12.75" customHeight="1">
      <c r="A626" s="51"/>
      <c r="B626" s="51"/>
      <c r="C626" s="50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</row>
    <row r="627" ht="12.75" customHeight="1">
      <c r="A627" s="51"/>
      <c r="B627" s="51"/>
      <c r="C627" s="50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</row>
    <row r="628" ht="12.75" customHeight="1">
      <c r="A628" s="51"/>
      <c r="B628" s="51"/>
      <c r="C628" s="50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</row>
    <row r="629" ht="12.75" customHeight="1">
      <c r="A629" s="51"/>
      <c r="B629" s="51"/>
      <c r="C629" s="50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</row>
    <row r="630" ht="12.75" customHeight="1">
      <c r="A630" s="51"/>
      <c r="B630" s="51"/>
      <c r="C630" s="50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</row>
    <row r="631" ht="12.75" customHeight="1">
      <c r="A631" s="51"/>
      <c r="B631" s="51"/>
      <c r="C631" s="50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</row>
    <row r="632" ht="12.75" customHeight="1">
      <c r="A632" s="51"/>
      <c r="B632" s="51"/>
      <c r="C632" s="50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</row>
    <row r="633" ht="12.75" customHeight="1">
      <c r="A633" s="51"/>
      <c r="B633" s="51"/>
      <c r="C633" s="50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</row>
    <row r="634" ht="12.75" customHeight="1">
      <c r="A634" s="51"/>
      <c r="B634" s="51"/>
      <c r="C634" s="50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</row>
    <row r="635" ht="12.75" customHeight="1">
      <c r="A635" s="51"/>
      <c r="B635" s="51"/>
      <c r="C635" s="50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</row>
    <row r="636" ht="12.75" customHeight="1">
      <c r="A636" s="51"/>
      <c r="B636" s="51"/>
      <c r="C636" s="50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</row>
    <row r="637" ht="12.75" customHeight="1">
      <c r="A637" s="51"/>
      <c r="B637" s="51"/>
      <c r="C637" s="50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</row>
    <row r="638" ht="12.75" customHeight="1">
      <c r="A638" s="51"/>
      <c r="B638" s="51"/>
      <c r="C638" s="50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</row>
    <row r="639" ht="12.75" customHeight="1">
      <c r="A639" s="51"/>
      <c r="B639" s="51"/>
      <c r="C639" s="50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</row>
    <row r="640" ht="12.75" customHeight="1">
      <c r="A640" s="51"/>
      <c r="B640" s="51"/>
      <c r="C640" s="50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</row>
    <row r="641" ht="12.75" customHeight="1">
      <c r="A641" s="51"/>
      <c r="B641" s="51"/>
      <c r="C641" s="50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</row>
    <row r="642" ht="12.75" customHeight="1">
      <c r="A642" s="51"/>
      <c r="B642" s="51"/>
      <c r="C642" s="50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</row>
    <row r="643" ht="12.75" customHeight="1">
      <c r="A643" s="51"/>
      <c r="B643" s="51"/>
      <c r="C643" s="50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</row>
    <row r="644" ht="12.75" customHeight="1">
      <c r="A644" s="51"/>
      <c r="B644" s="51"/>
      <c r="C644" s="50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</row>
    <row r="645" ht="12.75" customHeight="1">
      <c r="A645" s="51"/>
      <c r="B645" s="51"/>
      <c r="C645" s="50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</row>
    <row r="646" ht="12.75" customHeight="1">
      <c r="A646" s="51"/>
      <c r="B646" s="51"/>
      <c r="C646" s="50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</row>
    <row r="647" ht="12.75" customHeight="1">
      <c r="A647" s="51"/>
      <c r="B647" s="51"/>
      <c r="C647" s="50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</row>
    <row r="648" ht="12.75" customHeight="1">
      <c r="A648" s="51"/>
      <c r="B648" s="51"/>
      <c r="C648" s="50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</row>
    <row r="649" ht="12.75" customHeight="1">
      <c r="A649" s="51"/>
      <c r="B649" s="51"/>
      <c r="C649" s="50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</row>
    <row r="650" ht="12.75" customHeight="1">
      <c r="A650" s="51"/>
      <c r="B650" s="51"/>
      <c r="C650" s="50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</row>
    <row r="651" ht="12.75" customHeight="1">
      <c r="A651" s="51"/>
      <c r="B651" s="51"/>
      <c r="C651" s="50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</row>
    <row r="652" ht="12.75" customHeight="1">
      <c r="A652" s="51"/>
      <c r="B652" s="51"/>
      <c r="C652" s="50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</row>
    <row r="653" ht="12.75" customHeight="1">
      <c r="A653" s="51"/>
      <c r="B653" s="51"/>
      <c r="C653" s="50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</row>
    <row r="654" ht="12.75" customHeight="1">
      <c r="A654" s="51"/>
      <c r="B654" s="51"/>
      <c r="C654" s="50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</row>
    <row r="655" ht="12.75" customHeight="1">
      <c r="A655" s="51"/>
      <c r="B655" s="51"/>
      <c r="C655" s="50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</row>
    <row r="656" ht="12.75" customHeight="1">
      <c r="A656" s="51"/>
      <c r="B656" s="51"/>
      <c r="C656" s="50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</row>
    <row r="657" ht="12.75" customHeight="1">
      <c r="A657" s="51"/>
      <c r="B657" s="51"/>
      <c r="C657" s="50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</row>
    <row r="658" ht="12.75" customHeight="1">
      <c r="A658" s="51"/>
      <c r="B658" s="51"/>
      <c r="C658" s="50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</row>
    <row r="659" ht="12.75" customHeight="1">
      <c r="A659" s="51"/>
      <c r="B659" s="51"/>
      <c r="C659" s="50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</row>
    <row r="660" ht="12.75" customHeight="1">
      <c r="A660" s="51"/>
      <c r="B660" s="51"/>
      <c r="C660" s="50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</row>
    <row r="661" ht="12.75" customHeight="1">
      <c r="A661" s="51"/>
      <c r="B661" s="51"/>
      <c r="C661" s="50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</row>
    <row r="662" ht="12.75" customHeight="1">
      <c r="A662" s="51"/>
      <c r="B662" s="51"/>
      <c r="C662" s="50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</row>
    <row r="663" ht="12.75" customHeight="1">
      <c r="A663" s="51"/>
      <c r="B663" s="51"/>
      <c r="C663" s="50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</row>
    <row r="664" ht="12.75" customHeight="1">
      <c r="A664" s="51"/>
      <c r="B664" s="51"/>
      <c r="C664" s="50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</row>
    <row r="665" ht="12.75" customHeight="1">
      <c r="A665" s="51"/>
      <c r="B665" s="51"/>
      <c r="C665" s="50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</row>
    <row r="666" ht="12.75" customHeight="1">
      <c r="A666" s="51"/>
      <c r="B666" s="51"/>
      <c r="C666" s="50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</row>
    <row r="667" ht="12.75" customHeight="1">
      <c r="A667" s="51"/>
      <c r="B667" s="51"/>
      <c r="C667" s="50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</row>
    <row r="668" ht="12.75" customHeight="1">
      <c r="A668" s="51"/>
      <c r="B668" s="51"/>
      <c r="C668" s="50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</row>
    <row r="669" ht="12.75" customHeight="1">
      <c r="A669" s="51"/>
      <c r="B669" s="51"/>
      <c r="C669" s="50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</row>
    <row r="670" ht="12.75" customHeight="1">
      <c r="A670" s="51"/>
      <c r="B670" s="51"/>
      <c r="C670" s="50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</row>
    <row r="671" ht="12.75" customHeight="1">
      <c r="A671" s="51"/>
      <c r="B671" s="51"/>
      <c r="C671" s="50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</row>
    <row r="672" ht="12.75" customHeight="1">
      <c r="A672" s="51"/>
      <c r="B672" s="51"/>
      <c r="C672" s="50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</row>
    <row r="673" ht="12.75" customHeight="1">
      <c r="A673" s="51"/>
      <c r="B673" s="51"/>
      <c r="C673" s="50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</row>
    <row r="674" ht="12.75" customHeight="1">
      <c r="A674" s="51"/>
      <c r="B674" s="51"/>
      <c r="C674" s="50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</row>
    <row r="675" ht="12.75" customHeight="1">
      <c r="A675" s="51"/>
      <c r="B675" s="51"/>
      <c r="C675" s="50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</row>
    <row r="676" ht="12.75" customHeight="1">
      <c r="A676" s="51"/>
      <c r="B676" s="51"/>
      <c r="C676" s="50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</row>
    <row r="677" ht="12.75" customHeight="1">
      <c r="A677" s="51"/>
      <c r="B677" s="51"/>
      <c r="C677" s="50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</row>
    <row r="678" ht="12.75" customHeight="1">
      <c r="A678" s="51"/>
      <c r="B678" s="51"/>
      <c r="C678" s="50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</row>
    <row r="679" ht="12.75" customHeight="1">
      <c r="A679" s="51"/>
      <c r="B679" s="51"/>
      <c r="C679" s="50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</row>
    <row r="680" ht="12.75" customHeight="1">
      <c r="A680" s="51"/>
      <c r="B680" s="51"/>
      <c r="C680" s="50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</row>
    <row r="681" ht="12.75" customHeight="1">
      <c r="A681" s="51"/>
      <c r="B681" s="51"/>
      <c r="C681" s="50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</row>
    <row r="682" ht="12.75" customHeight="1">
      <c r="A682" s="51"/>
      <c r="B682" s="51"/>
      <c r="C682" s="50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</row>
    <row r="683" ht="12.75" customHeight="1">
      <c r="A683" s="51"/>
      <c r="B683" s="51"/>
      <c r="C683" s="50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</row>
    <row r="684" ht="12.75" customHeight="1">
      <c r="A684" s="51"/>
      <c r="B684" s="51"/>
      <c r="C684" s="50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</row>
    <row r="685" ht="12.75" customHeight="1">
      <c r="A685" s="51"/>
      <c r="B685" s="51"/>
      <c r="C685" s="50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</row>
    <row r="686" ht="12.75" customHeight="1">
      <c r="A686" s="51"/>
      <c r="B686" s="51"/>
      <c r="C686" s="50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</row>
    <row r="687" ht="12.75" customHeight="1">
      <c r="A687" s="51"/>
      <c r="B687" s="51"/>
      <c r="C687" s="50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</row>
    <row r="688" ht="12.75" customHeight="1">
      <c r="A688" s="51"/>
      <c r="B688" s="51"/>
      <c r="C688" s="50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</row>
    <row r="689" ht="12.75" customHeight="1">
      <c r="A689" s="51"/>
      <c r="B689" s="51"/>
      <c r="C689" s="50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</row>
    <row r="690" ht="12.75" customHeight="1">
      <c r="A690" s="51"/>
      <c r="B690" s="51"/>
      <c r="C690" s="50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</row>
    <row r="691" ht="12.75" customHeight="1">
      <c r="A691" s="51"/>
      <c r="B691" s="51"/>
      <c r="C691" s="50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</row>
    <row r="692" ht="12.75" customHeight="1">
      <c r="A692" s="51"/>
      <c r="B692" s="51"/>
      <c r="C692" s="50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</row>
    <row r="693" ht="12.75" customHeight="1">
      <c r="A693" s="51"/>
      <c r="B693" s="51"/>
      <c r="C693" s="50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</row>
    <row r="694" ht="12.75" customHeight="1">
      <c r="A694" s="51"/>
      <c r="B694" s="51"/>
      <c r="C694" s="50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</row>
    <row r="695" ht="12.75" customHeight="1">
      <c r="A695" s="51"/>
      <c r="B695" s="51"/>
      <c r="C695" s="50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</row>
    <row r="696" ht="12.75" customHeight="1">
      <c r="A696" s="51"/>
      <c r="B696" s="51"/>
      <c r="C696" s="50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</row>
    <row r="697" ht="12.75" customHeight="1">
      <c r="A697" s="51"/>
      <c r="B697" s="51"/>
      <c r="C697" s="50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</row>
    <row r="698" ht="12.75" customHeight="1">
      <c r="A698" s="51"/>
      <c r="B698" s="51"/>
      <c r="C698" s="50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</row>
    <row r="699" ht="12.75" customHeight="1">
      <c r="A699" s="51"/>
      <c r="B699" s="51"/>
      <c r="C699" s="50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</row>
    <row r="700" ht="12.75" customHeight="1">
      <c r="A700" s="51"/>
      <c r="B700" s="51"/>
      <c r="C700" s="50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</row>
    <row r="701" ht="12.75" customHeight="1">
      <c r="A701" s="51"/>
      <c r="B701" s="51"/>
      <c r="C701" s="50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</row>
    <row r="702" ht="12.75" customHeight="1">
      <c r="A702" s="51"/>
      <c r="B702" s="51"/>
      <c r="C702" s="50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</row>
    <row r="703" ht="12.75" customHeight="1">
      <c r="A703" s="51"/>
      <c r="B703" s="51"/>
      <c r="C703" s="50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</row>
    <row r="704" ht="12.75" customHeight="1">
      <c r="A704" s="51"/>
      <c r="B704" s="51"/>
      <c r="C704" s="50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</row>
    <row r="705" ht="12.75" customHeight="1">
      <c r="A705" s="51"/>
      <c r="B705" s="51"/>
      <c r="C705" s="50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</row>
    <row r="706" ht="12.75" customHeight="1">
      <c r="A706" s="51"/>
      <c r="B706" s="51"/>
      <c r="C706" s="50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</row>
    <row r="707" ht="12.75" customHeight="1">
      <c r="A707" s="51"/>
      <c r="B707" s="51"/>
      <c r="C707" s="50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</row>
    <row r="708" ht="12.75" customHeight="1">
      <c r="A708" s="51"/>
      <c r="B708" s="51"/>
      <c r="C708" s="50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</row>
    <row r="709" ht="12.75" customHeight="1">
      <c r="A709" s="51"/>
      <c r="B709" s="51"/>
      <c r="C709" s="50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</row>
    <row r="710" ht="12.75" customHeight="1">
      <c r="A710" s="51"/>
      <c r="B710" s="51"/>
      <c r="C710" s="50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</row>
    <row r="711" ht="12.75" customHeight="1">
      <c r="A711" s="51"/>
      <c r="B711" s="51"/>
      <c r="C711" s="50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</row>
    <row r="712" ht="12.75" customHeight="1">
      <c r="A712" s="51"/>
      <c r="B712" s="51"/>
      <c r="C712" s="50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</row>
    <row r="713" ht="12.75" customHeight="1">
      <c r="A713" s="51"/>
      <c r="B713" s="51"/>
      <c r="C713" s="50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</row>
    <row r="714" ht="12.75" customHeight="1">
      <c r="A714" s="51"/>
      <c r="B714" s="51"/>
      <c r="C714" s="50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</row>
    <row r="715" ht="12.75" customHeight="1">
      <c r="A715" s="51"/>
      <c r="B715" s="51"/>
      <c r="C715" s="50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</row>
    <row r="716" ht="12.75" customHeight="1">
      <c r="A716" s="51"/>
      <c r="B716" s="51"/>
      <c r="C716" s="50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</row>
    <row r="717" ht="12.75" customHeight="1">
      <c r="A717" s="51"/>
      <c r="B717" s="51"/>
      <c r="C717" s="50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</row>
    <row r="718" ht="12.75" customHeight="1">
      <c r="A718" s="51"/>
      <c r="B718" s="51"/>
      <c r="C718" s="50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</row>
    <row r="719" ht="12.75" customHeight="1">
      <c r="A719" s="51"/>
      <c r="B719" s="51"/>
      <c r="C719" s="50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</row>
    <row r="720" ht="12.75" customHeight="1">
      <c r="A720" s="51"/>
      <c r="B720" s="51"/>
      <c r="C720" s="50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</row>
    <row r="721" ht="12.75" customHeight="1">
      <c r="A721" s="51"/>
      <c r="B721" s="51"/>
      <c r="C721" s="50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</row>
    <row r="722" ht="12.75" customHeight="1">
      <c r="A722" s="51"/>
      <c r="B722" s="51"/>
      <c r="C722" s="50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</row>
    <row r="723" ht="12.75" customHeight="1">
      <c r="A723" s="51"/>
      <c r="B723" s="51"/>
      <c r="C723" s="50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</row>
    <row r="724" ht="12.75" customHeight="1">
      <c r="A724" s="51"/>
      <c r="B724" s="51"/>
      <c r="C724" s="50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</row>
    <row r="725" ht="12.75" customHeight="1">
      <c r="A725" s="51"/>
      <c r="B725" s="51"/>
      <c r="C725" s="50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</row>
    <row r="726" ht="12.75" customHeight="1">
      <c r="A726" s="51"/>
      <c r="B726" s="51"/>
      <c r="C726" s="50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</row>
    <row r="727" ht="12.75" customHeight="1">
      <c r="A727" s="51"/>
      <c r="B727" s="51"/>
      <c r="C727" s="50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</row>
    <row r="728" ht="12.75" customHeight="1">
      <c r="A728" s="51"/>
      <c r="B728" s="51"/>
      <c r="C728" s="50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</row>
    <row r="729" ht="12.75" customHeight="1">
      <c r="A729" s="51"/>
      <c r="B729" s="51"/>
      <c r="C729" s="50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</row>
    <row r="730" ht="12.75" customHeight="1">
      <c r="A730" s="51"/>
      <c r="B730" s="51"/>
      <c r="C730" s="50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</row>
    <row r="731" ht="12.75" customHeight="1">
      <c r="A731" s="51"/>
      <c r="B731" s="51"/>
      <c r="C731" s="50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</row>
    <row r="732" ht="12.75" customHeight="1">
      <c r="A732" s="51"/>
      <c r="B732" s="51"/>
      <c r="C732" s="50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</row>
    <row r="733" ht="12.75" customHeight="1">
      <c r="A733" s="51"/>
      <c r="B733" s="51"/>
      <c r="C733" s="50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</row>
    <row r="734" ht="12.75" customHeight="1">
      <c r="A734" s="51"/>
      <c r="B734" s="51"/>
      <c r="C734" s="50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</row>
    <row r="735" ht="12.75" customHeight="1">
      <c r="A735" s="51"/>
      <c r="B735" s="51"/>
      <c r="C735" s="50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</row>
    <row r="736" ht="12.75" customHeight="1">
      <c r="A736" s="51"/>
      <c r="B736" s="51"/>
      <c r="C736" s="50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</row>
    <row r="737" ht="12.75" customHeight="1">
      <c r="A737" s="51"/>
      <c r="B737" s="51"/>
      <c r="C737" s="50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</row>
    <row r="738" ht="12.75" customHeight="1">
      <c r="A738" s="51"/>
      <c r="B738" s="51"/>
      <c r="C738" s="50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</row>
    <row r="739" ht="12.75" customHeight="1">
      <c r="A739" s="51"/>
      <c r="B739" s="51"/>
      <c r="C739" s="50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</row>
    <row r="740" ht="12.75" customHeight="1">
      <c r="A740" s="51"/>
      <c r="B740" s="51"/>
      <c r="C740" s="50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</row>
    <row r="741" ht="12.75" customHeight="1">
      <c r="A741" s="51"/>
      <c r="B741" s="51"/>
      <c r="C741" s="50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</row>
    <row r="742" ht="12.75" customHeight="1">
      <c r="A742" s="51"/>
      <c r="B742" s="51"/>
      <c r="C742" s="50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</row>
    <row r="743" ht="12.75" customHeight="1">
      <c r="A743" s="51"/>
      <c r="B743" s="51"/>
      <c r="C743" s="50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</row>
    <row r="744" ht="12.75" customHeight="1">
      <c r="A744" s="51"/>
      <c r="B744" s="51"/>
      <c r="C744" s="50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</row>
    <row r="745" ht="12.75" customHeight="1">
      <c r="A745" s="51"/>
      <c r="B745" s="51"/>
      <c r="C745" s="50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</row>
    <row r="746" ht="12.75" customHeight="1">
      <c r="A746" s="51"/>
      <c r="B746" s="51"/>
      <c r="C746" s="50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</row>
    <row r="747" ht="12.75" customHeight="1">
      <c r="A747" s="51"/>
      <c r="B747" s="51"/>
      <c r="C747" s="50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</row>
    <row r="748" ht="12.75" customHeight="1">
      <c r="A748" s="51"/>
      <c r="B748" s="51"/>
      <c r="C748" s="50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</row>
    <row r="749" ht="12.75" customHeight="1">
      <c r="A749" s="51"/>
      <c r="B749" s="51"/>
      <c r="C749" s="50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</row>
    <row r="750" ht="12.75" customHeight="1">
      <c r="A750" s="51"/>
      <c r="B750" s="51"/>
      <c r="C750" s="50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</row>
    <row r="751" ht="12.75" customHeight="1">
      <c r="A751" s="51"/>
      <c r="B751" s="51"/>
      <c r="C751" s="50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</row>
    <row r="752" ht="12.75" customHeight="1">
      <c r="A752" s="51"/>
      <c r="B752" s="51"/>
      <c r="C752" s="50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</row>
    <row r="753" ht="12.75" customHeight="1">
      <c r="A753" s="51"/>
      <c r="B753" s="51"/>
      <c r="C753" s="50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</row>
    <row r="754" ht="12.75" customHeight="1">
      <c r="A754" s="51"/>
      <c r="B754" s="51"/>
      <c r="C754" s="50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</row>
    <row r="755" ht="12.75" customHeight="1">
      <c r="A755" s="51"/>
      <c r="B755" s="51"/>
      <c r="C755" s="50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</row>
    <row r="756" ht="12.75" customHeight="1">
      <c r="A756" s="51"/>
      <c r="B756" s="51"/>
      <c r="C756" s="50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</row>
    <row r="757" ht="12.75" customHeight="1">
      <c r="A757" s="51"/>
      <c r="B757" s="51"/>
      <c r="C757" s="50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</row>
    <row r="758" ht="12.75" customHeight="1">
      <c r="A758" s="51"/>
      <c r="B758" s="51"/>
      <c r="C758" s="50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</row>
    <row r="759" ht="12.75" customHeight="1">
      <c r="A759" s="51"/>
      <c r="B759" s="51"/>
      <c r="C759" s="50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</row>
    <row r="760" ht="12.75" customHeight="1">
      <c r="A760" s="51"/>
      <c r="B760" s="51"/>
      <c r="C760" s="50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</row>
    <row r="761" ht="12.75" customHeight="1">
      <c r="A761" s="51"/>
      <c r="B761" s="51"/>
      <c r="C761" s="50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</row>
    <row r="762" ht="12.75" customHeight="1">
      <c r="A762" s="51"/>
      <c r="B762" s="51"/>
      <c r="C762" s="50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</row>
    <row r="763" ht="12.75" customHeight="1">
      <c r="A763" s="51"/>
      <c r="B763" s="51"/>
      <c r="C763" s="50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</row>
    <row r="764" ht="12.75" customHeight="1">
      <c r="A764" s="51"/>
      <c r="B764" s="51"/>
      <c r="C764" s="50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</row>
    <row r="765" ht="12.75" customHeight="1">
      <c r="A765" s="51"/>
      <c r="B765" s="51"/>
      <c r="C765" s="50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</row>
    <row r="766" ht="12.75" customHeight="1">
      <c r="A766" s="51"/>
      <c r="B766" s="51"/>
      <c r="C766" s="50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</row>
    <row r="767" ht="12.75" customHeight="1">
      <c r="A767" s="51"/>
      <c r="B767" s="51"/>
      <c r="C767" s="50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</row>
    <row r="768" ht="12.75" customHeight="1">
      <c r="A768" s="51"/>
      <c r="B768" s="51"/>
      <c r="C768" s="50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</row>
    <row r="769" ht="12.75" customHeight="1">
      <c r="A769" s="51"/>
      <c r="B769" s="51"/>
      <c r="C769" s="50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</row>
    <row r="770" ht="12.75" customHeight="1">
      <c r="A770" s="51"/>
      <c r="B770" s="51"/>
      <c r="C770" s="50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</row>
    <row r="771" ht="12.75" customHeight="1">
      <c r="A771" s="51"/>
      <c r="B771" s="51"/>
      <c r="C771" s="50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</row>
    <row r="772" ht="12.75" customHeight="1">
      <c r="A772" s="51"/>
      <c r="B772" s="51"/>
      <c r="C772" s="50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</row>
    <row r="773" ht="12.75" customHeight="1">
      <c r="A773" s="51"/>
      <c r="B773" s="51"/>
      <c r="C773" s="50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</row>
    <row r="774" ht="12.75" customHeight="1">
      <c r="A774" s="51"/>
      <c r="B774" s="51"/>
      <c r="C774" s="50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</row>
    <row r="775" ht="12.75" customHeight="1">
      <c r="A775" s="51"/>
      <c r="B775" s="51"/>
      <c r="C775" s="50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</row>
    <row r="776" ht="12.75" customHeight="1">
      <c r="A776" s="51"/>
      <c r="B776" s="51"/>
      <c r="C776" s="50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</row>
    <row r="777" ht="12.75" customHeight="1">
      <c r="A777" s="51"/>
      <c r="B777" s="51"/>
      <c r="C777" s="50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</row>
    <row r="778" ht="12.75" customHeight="1">
      <c r="A778" s="51"/>
      <c r="B778" s="51"/>
      <c r="C778" s="50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</row>
    <row r="779" ht="12.75" customHeight="1">
      <c r="A779" s="51"/>
      <c r="B779" s="51"/>
      <c r="C779" s="50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</row>
    <row r="780" ht="12.75" customHeight="1">
      <c r="A780" s="51"/>
      <c r="B780" s="51"/>
      <c r="C780" s="50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</row>
    <row r="781" ht="12.75" customHeight="1">
      <c r="A781" s="51"/>
      <c r="B781" s="51"/>
      <c r="C781" s="50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</row>
    <row r="782" ht="12.75" customHeight="1">
      <c r="A782" s="51"/>
      <c r="B782" s="51"/>
      <c r="C782" s="50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</row>
    <row r="783" ht="12.75" customHeight="1">
      <c r="A783" s="51"/>
      <c r="B783" s="51"/>
      <c r="C783" s="50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</row>
    <row r="784" ht="12.75" customHeight="1">
      <c r="A784" s="51"/>
      <c r="B784" s="51"/>
      <c r="C784" s="50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</row>
    <row r="785" ht="12.75" customHeight="1">
      <c r="A785" s="51"/>
      <c r="B785" s="51"/>
      <c r="C785" s="50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</row>
    <row r="786" ht="12.75" customHeight="1">
      <c r="A786" s="51"/>
      <c r="B786" s="51"/>
      <c r="C786" s="50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</row>
    <row r="787" ht="12.75" customHeight="1">
      <c r="A787" s="51"/>
      <c r="B787" s="51"/>
      <c r="C787" s="50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</row>
    <row r="788" ht="12.75" customHeight="1">
      <c r="A788" s="51"/>
      <c r="B788" s="51"/>
      <c r="C788" s="50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</row>
    <row r="789" ht="12.75" customHeight="1">
      <c r="A789" s="51"/>
      <c r="B789" s="51"/>
      <c r="C789" s="50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</row>
    <row r="790" ht="12.75" customHeight="1">
      <c r="A790" s="51"/>
      <c r="B790" s="51"/>
      <c r="C790" s="50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</row>
    <row r="791" ht="12.75" customHeight="1">
      <c r="A791" s="51"/>
      <c r="B791" s="51"/>
      <c r="C791" s="50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</row>
    <row r="792" ht="12.75" customHeight="1">
      <c r="A792" s="51"/>
      <c r="B792" s="51"/>
      <c r="C792" s="50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</row>
    <row r="793" ht="12.75" customHeight="1">
      <c r="A793" s="51"/>
      <c r="B793" s="51"/>
      <c r="C793" s="50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</row>
    <row r="794" ht="12.75" customHeight="1">
      <c r="A794" s="51"/>
      <c r="B794" s="51"/>
      <c r="C794" s="50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</row>
    <row r="795" ht="12.75" customHeight="1">
      <c r="A795" s="51"/>
      <c r="B795" s="51"/>
      <c r="C795" s="50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</row>
    <row r="796" ht="12.75" customHeight="1">
      <c r="A796" s="51"/>
      <c r="B796" s="51"/>
      <c r="C796" s="50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</row>
    <row r="797" ht="12.75" customHeight="1">
      <c r="A797" s="51"/>
      <c r="B797" s="51"/>
      <c r="C797" s="50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</row>
    <row r="798" ht="12.75" customHeight="1">
      <c r="A798" s="51"/>
      <c r="B798" s="51"/>
      <c r="C798" s="50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</row>
    <row r="799" ht="12.75" customHeight="1">
      <c r="A799" s="51"/>
      <c r="B799" s="51"/>
      <c r="C799" s="50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</row>
    <row r="800" ht="12.75" customHeight="1">
      <c r="A800" s="51"/>
      <c r="B800" s="51"/>
      <c r="C800" s="50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</row>
    <row r="801" ht="12.75" customHeight="1">
      <c r="A801" s="51"/>
      <c r="B801" s="51"/>
      <c r="C801" s="50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</row>
    <row r="802" ht="12.75" customHeight="1">
      <c r="A802" s="51"/>
      <c r="B802" s="51"/>
      <c r="C802" s="50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</row>
    <row r="803" ht="12.75" customHeight="1">
      <c r="A803" s="51"/>
      <c r="B803" s="51"/>
      <c r="C803" s="50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</row>
    <row r="804" ht="12.75" customHeight="1">
      <c r="A804" s="51"/>
      <c r="B804" s="51"/>
      <c r="C804" s="50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</row>
    <row r="805" ht="12.75" customHeight="1">
      <c r="A805" s="51"/>
      <c r="B805" s="51"/>
      <c r="C805" s="50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</row>
    <row r="806" ht="12.75" customHeight="1">
      <c r="A806" s="51"/>
      <c r="B806" s="51"/>
      <c r="C806" s="50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</row>
    <row r="807" ht="12.75" customHeight="1">
      <c r="A807" s="51"/>
      <c r="B807" s="51"/>
      <c r="C807" s="50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</row>
    <row r="808" ht="12.75" customHeight="1">
      <c r="A808" s="51"/>
      <c r="B808" s="51"/>
      <c r="C808" s="50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</row>
    <row r="809" ht="12.75" customHeight="1">
      <c r="A809" s="51"/>
      <c r="B809" s="51"/>
      <c r="C809" s="50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</row>
    <row r="810" ht="12.75" customHeight="1">
      <c r="A810" s="51"/>
      <c r="B810" s="51"/>
      <c r="C810" s="50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</row>
    <row r="811" ht="12.75" customHeight="1">
      <c r="A811" s="51"/>
      <c r="B811" s="51"/>
      <c r="C811" s="50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</row>
    <row r="812" ht="12.75" customHeight="1">
      <c r="A812" s="51"/>
      <c r="B812" s="51"/>
      <c r="C812" s="50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</row>
    <row r="813" ht="12.75" customHeight="1">
      <c r="A813" s="51"/>
      <c r="B813" s="51"/>
      <c r="C813" s="50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</row>
    <row r="814" ht="12.75" customHeight="1">
      <c r="A814" s="51"/>
      <c r="B814" s="51"/>
      <c r="C814" s="50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</row>
    <row r="815" ht="12.75" customHeight="1">
      <c r="A815" s="51"/>
      <c r="B815" s="51"/>
      <c r="C815" s="50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</row>
    <row r="816" ht="12.75" customHeight="1">
      <c r="A816" s="51"/>
      <c r="B816" s="51"/>
      <c r="C816" s="50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</row>
    <row r="817" ht="12.75" customHeight="1">
      <c r="A817" s="51"/>
      <c r="B817" s="51"/>
      <c r="C817" s="50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</row>
    <row r="818" ht="12.75" customHeight="1">
      <c r="A818" s="51"/>
      <c r="B818" s="51"/>
      <c r="C818" s="50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</row>
    <row r="819" ht="12.75" customHeight="1">
      <c r="A819" s="51"/>
      <c r="B819" s="51"/>
      <c r="C819" s="50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</row>
    <row r="820" ht="12.75" customHeight="1">
      <c r="A820" s="51"/>
      <c r="B820" s="51"/>
      <c r="C820" s="50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</row>
    <row r="821" ht="12.75" customHeight="1">
      <c r="A821" s="51"/>
      <c r="B821" s="51"/>
      <c r="C821" s="50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</row>
    <row r="822" ht="12.75" customHeight="1">
      <c r="A822" s="51"/>
      <c r="B822" s="51"/>
      <c r="C822" s="50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</row>
    <row r="823" ht="12.75" customHeight="1">
      <c r="A823" s="51"/>
      <c r="B823" s="51"/>
      <c r="C823" s="50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</row>
    <row r="824" ht="12.75" customHeight="1">
      <c r="A824" s="51"/>
      <c r="B824" s="51"/>
      <c r="C824" s="50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</row>
    <row r="825" ht="12.75" customHeight="1">
      <c r="A825" s="51"/>
      <c r="B825" s="51"/>
      <c r="C825" s="50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</row>
    <row r="826" ht="12.75" customHeight="1">
      <c r="A826" s="51"/>
      <c r="B826" s="51"/>
      <c r="C826" s="50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</row>
    <row r="827" ht="12.75" customHeight="1">
      <c r="A827" s="51"/>
      <c r="B827" s="51"/>
      <c r="C827" s="50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</row>
    <row r="828" ht="12.75" customHeight="1">
      <c r="A828" s="51"/>
      <c r="B828" s="51"/>
      <c r="C828" s="50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</row>
    <row r="829" ht="12.75" customHeight="1">
      <c r="A829" s="51"/>
      <c r="B829" s="51"/>
      <c r="C829" s="50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</row>
    <row r="830" ht="12.75" customHeight="1">
      <c r="A830" s="51"/>
      <c r="B830" s="51"/>
      <c r="C830" s="50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</row>
    <row r="831" ht="12.75" customHeight="1">
      <c r="A831" s="51"/>
      <c r="B831" s="51"/>
      <c r="C831" s="50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</row>
    <row r="832" ht="12.75" customHeight="1">
      <c r="A832" s="51"/>
      <c r="B832" s="51"/>
      <c r="C832" s="50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</row>
    <row r="833" ht="12.75" customHeight="1">
      <c r="A833" s="51"/>
      <c r="B833" s="51"/>
      <c r="C833" s="50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</row>
    <row r="834" ht="12.75" customHeight="1">
      <c r="A834" s="51"/>
      <c r="B834" s="51"/>
      <c r="C834" s="50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</row>
    <row r="835" ht="12.75" customHeight="1">
      <c r="A835" s="51"/>
      <c r="B835" s="51"/>
      <c r="C835" s="50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</row>
    <row r="836" ht="12.75" customHeight="1">
      <c r="A836" s="51"/>
      <c r="B836" s="51"/>
      <c r="C836" s="50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</row>
    <row r="837" ht="12.75" customHeight="1">
      <c r="A837" s="51"/>
      <c r="B837" s="51"/>
      <c r="C837" s="50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</row>
    <row r="838" ht="12.75" customHeight="1">
      <c r="A838" s="51"/>
      <c r="B838" s="51"/>
      <c r="C838" s="50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</row>
    <row r="839" ht="12.75" customHeight="1">
      <c r="A839" s="51"/>
      <c r="B839" s="51"/>
      <c r="C839" s="50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</row>
    <row r="840" ht="12.75" customHeight="1">
      <c r="A840" s="51"/>
      <c r="B840" s="51"/>
      <c r="C840" s="50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</row>
    <row r="841" ht="12.75" customHeight="1">
      <c r="A841" s="51"/>
      <c r="B841" s="51"/>
      <c r="C841" s="50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</row>
    <row r="842" ht="12.75" customHeight="1">
      <c r="A842" s="51"/>
      <c r="B842" s="51"/>
      <c r="C842" s="50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</row>
    <row r="843" ht="12.75" customHeight="1">
      <c r="A843" s="51"/>
      <c r="B843" s="51"/>
      <c r="C843" s="50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</row>
    <row r="844" ht="12.75" customHeight="1">
      <c r="A844" s="51"/>
      <c r="B844" s="51"/>
      <c r="C844" s="50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</row>
    <row r="845" ht="12.75" customHeight="1">
      <c r="A845" s="51"/>
      <c r="B845" s="51"/>
      <c r="C845" s="50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</row>
    <row r="846" ht="12.75" customHeight="1">
      <c r="A846" s="51"/>
      <c r="B846" s="51"/>
      <c r="C846" s="50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</row>
    <row r="847" ht="12.75" customHeight="1">
      <c r="A847" s="51"/>
      <c r="B847" s="51"/>
      <c r="C847" s="50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</row>
    <row r="848" ht="12.75" customHeight="1">
      <c r="A848" s="51"/>
      <c r="B848" s="51"/>
      <c r="C848" s="50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</row>
    <row r="849" ht="12.75" customHeight="1">
      <c r="A849" s="51"/>
      <c r="B849" s="51"/>
      <c r="C849" s="50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</row>
    <row r="850" ht="12.75" customHeight="1">
      <c r="A850" s="51"/>
      <c r="B850" s="51"/>
      <c r="C850" s="50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</row>
    <row r="851" ht="12.75" customHeight="1">
      <c r="A851" s="51"/>
      <c r="B851" s="51"/>
      <c r="C851" s="50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</row>
    <row r="852" ht="12.75" customHeight="1">
      <c r="A852" s="51"/>
      <c r="B852" s="51"/>
      <c r="C852" s="50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</row>
    <row r="853" ht="12.75" customHeight="1">
      <c r="A853" s="51"/>
      <c r="B853" s="51"/>
      <c r="C853" s="50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</row>
    <row r="854" ht="12.75" customHeight="1">
      <c r="A854" s="51"/>
      <c r="B854" s="51"/>
      <c r="C854" s="50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</row>
    <row r="855" ht="12.75" customHeight="1">
      <c r="A855" s="51"/>
      <c r="B855" s="51"/>
      <c r="C855" s="50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</row>
    <row r="856" ht="12.75" customHeight="1">
      <c r="A856" s="51"/>
      <c r="B856" s="51"/>
      <c r="C856" s="50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</row>
    <row r="857" ht="12.75" customHeight="1">
      <c r="A857" s="51"/>
      <c r="B857" s="51"/>
      <c r="C857" s="50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</row>
    <row r="858" ht="12.75" customHeight="1">
      <c r="A858" s="51"/>
      <c r="B858" s="51"/>
      <c r="C858" s="50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</row>
    <row r="859" ht="12.75" customHeight="1">
      <c r="A859" s="51"/>
      <c r="B859" s="51"/>
      <c r="C859" s="50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</row>
    <row r="860" ht="12.75" customHeight="1">
      <c r="A860" s="51"/>
      <c r="B860" s="51"/>
      <c r="C860" s="50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</row>
    <row r="861" ht="12.75" customHeight="1">
      <c r="A861" s="51"/>
      <c r="B861" s="51"/>
      <c r="C861" s="50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</row>
    <row r="862" ht="12.75" customHeight="1">
      <c r="A862" s="51"/>
      <c r="B862" s="51"/>
      <c r="C862" s="50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</row>
    <row r="863" ht="12.75" customHeight="1">
      <c r="A863" s="51"/>
      <c r="B863" s="51"/>
      <c r="C863" s="50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</row>
    <row r="864" ht="12.75" customHeight="1">
      <c r="A864" s="51"/>
      <c r="B864" s="51"/>
      <c r="C864" s="50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</row>
    <row r="865" ht="12.75" customHeight="1">
      <c r="A865" s="51"/>
      <c r="B865" s="51"/>
      <c r="C865" s="50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</row>
    <row r="866" ht="12.75" customHeight="1">
      <c r="A866" s="51"/>
      <c r="B866" s="51"/>
      <c r="C866" s="50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</row>
    <row r="867" ht="12.75" customHeight="1">
      <c r="A867" s="51"/>
      <c r="B867" s="51"/>
      <c r="C867" s="50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</row>
    <row r="868" ht="12.75" customHeight="1">
      <c r="A868" s="51"/>
      <c r="B868" s="51"/>
      <c r="C868" s="50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</row>
    <row r="869" ht="12.75" customHeight="1">
      <c r="A869" s="51"/>
      <c r="B869" s="51"/>
      <c r="C869" s="50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</row>
    <row r="870" ht="12.75" customHeight="1">
      <c r="A870" s="51"/>
      <c r="B870" s="51"/>
      <c r="C870" s="50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</row>
    <row r="871" ht="12.75" customHeight="1">
      <c r="A871" s="51"/>
      <c r="B871" s="51"/>
      <c r="C871" s="50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</row>
    <row r="872" ht="12.75" customHeight="1">
      <c r="A872" s="51"/>
      <c r="B872" s="51"/>
      <c r="C872" s="50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</row>
    <row r="873" ht="12.75" customHeight="1">
      <c r="A873" s="51"/>
      <c r="B873" s="51"/>
      <c r="C873" s="50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</row>
    <row r="874" ht="12.75" customHeight="1">
      <c r="A874" s="51"/>
      <c r="B874" s="51"/>
      <c r="C874" s="50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</row>
    <row r="875" ht="12.75" customHeight="1">
      <c r="A875" s="51"/>
      <c r="B875" s="51"/>
      <c r="C875" s="50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</row>
    <row r="876" ht="12.75" customHeight="1">
      <c r="A876" s="51"/>
      <c r="B876" s="51"/>
      <c r="C876" s="50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</row>
    <row r="877" ht="12.75" customHeight="1">
      <c r="A877" s="51"/>
      <c r="B877" s="51"/>
      <c r="C877" s="50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</row>
    <row r="878" ht="12.75" customHeight="1">
      <c r="A878" s="51"/>
      <c r="B878" s="51"/>
      <c r="C878" s="50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</row>
    <row r="879" ht="12.75" customHeight="1">
      <c r="A879" s="51"/>
      <c r="B879" s="51"/>
      <c r="C879" s="50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</row>
    <row r="880" ht="12.75" customHeight="1">
      <c r="A880" s="51"/>
      <c r="B880" s="51"/>
      <c r="C880" s="50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</row>
    <row r="881" ht="12.75" customHeight="1">
      <c r="A881" s="51"/>
      <c r="B881" s="51"/>
      <c r="C881" s="50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</row>
    <row r="882" ht="12.75" customHeight="1">
      <c r="A882" s="51"/>
      <c r="B882" s="51"/>
      <c r="C882" s="50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</row>
    <row r="883" ht="12.75" customHeight="1">
      <c r="A883" s="51"/>
      <c r="B883" s="51"/>
      <c r="C883" s="50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</row>
    <row r="884" ht="12.75" customHeight="1">
      <c r="A884" s="51"/>
      <c r="B884" s="51"/>
      <c r="C884" s="50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</row>
    <row r="885" ht="12.75" customHeight="1">
      <c r="A885" s="51"/>
      <c r="B885" s="51"/>
      <c r="C885" s="50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</row>
    <row r="886" ht="12.75" customHeight="1">
      <c r="A886" s="51"/>
      <c r="B886" s="51"/>
      <c r="C886" s="50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</row>
    <row r="887" ht="12.75" customHeight="1">
      <c r="A887" s="51"/>
      <c r="B887" s="51"/>
      <c r="C887" s="50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</row>
    <row r="888" ht="12.75" customHeight="1">
      <c r="A888" s="51"/>
      <c r="B888" s="51"/>
      <c r="C888" s="50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</row>
    <row r="889" ht="12.75" customHeight="1">
      <c r="A889" s="51"/>
      <c r="B889" s="51"/>
      <c r="C889" s="50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</row>
    <row r="890" ht="12.75" customHeight="1">
      <c r="A890" s="51"/>
      <c r="B890" s="51"/>
      <c r="C890" s="50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</row>
    <row r="891" ht="12.75" customHeight="1">
      <c r="A891" s="51"/>
      <c r="B891" s="51"/>
      <c r="C891" s="50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</row>
    <row r="892" ht="12.75" customHeight="1">
      <c r="A892" s="51"/>
      <c r="B892" s="51"/>
      <c r="C892" s="50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</row>
    <row r="893" ht="12.75" customHeight="1">
      <c r="A893" s="51"/>
      <c r="B893" s="51"/>
      <c r="C893" s="50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</row>
    <row r="894" ht="12.75" customHeight="1">
      <c r="A894" s="51"/>
      <c r="B894" s="51"/>
      <c r="C894" s="50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</row>
    <row r="895" ht="12.75" customHeight="1">
      <c r="A895" s="51"/>
      <c r="B895" s="51"/>
      <c r="C895" s="50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</row>
    <row r="896" ht="12.75" customHeight="1">
      <c r="A896" s="51"/>
      <c r="B896" s="51"/>
      <c r="C896" s="50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</row>
    <row r="897" ht="12.75" customHeight="1">
      <c r="A897" s="51"/>
      <c r="B897" s="51"/>
      <c r="C897" s="50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</row>
    <row r="898" ht="12.75" customHeight="1">
      <c r="A898" s="51"/>
      <c r="B898" s="51"/>
      <c r="C898" s="50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</row>
    <row r="899" ht="12.75" customHeight="1">
      <c r="A899" s="51"/>
      <c r="B899" s="51"/>
      <c r="C899" s="50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</row>
    <row r="900" ht="12.75" customHeight="1">
      <c r="A900" s="51"/>
      <c r="B900" s="51"/>
      <c r="C900" s="50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</row>
    <row r="901" ht="12.75" customHeight="1">
      <c r="A901" s="51"/>
      <c r="B901" s="51"/>
      <c r="C901" s="50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</row>
    <row r="902" ht="12.75" customHeight="1">
      <c r="A902" s="51"/>
      <c r="B902" s="51"/>
      <c r="C902" s="50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</row>
    <row r="903" ht="12.75" customHeight="1">
      <c r="A903" s="51"/>
      <c r="B903" s="51"/>
      <c r="C903" s="50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</row>
    <row r="904" ht="12.75" customHeight="1">
      <c r="A904" s="51"/>
      <c r="B904" s="51"/>
      <c r="C904" s="50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</row>
    <row r="905" ht="12.75" customHeight="1">
      <c r="A905" s="51"/>
      <c r="B905" s="51"/>
      <c r="C905" s="50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</row>
    <row r="906" ht="12.75" customHeight="1">
      <c r="A906" s="51"/>
      <c r="B906" s="51"/>
      <c r="C906" s="50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</row>
    <row r="907" ht="12.75" customHeight="1">
      <c r="A907" s="51"/>
      <c r="B907" s="51"/>
      <c r="C907" s="50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</row>
    <row r="908" ht="12.75" customHeight="1">
      <c r="A908" s="51"/>
      <c r="B908" s="51"/>
      <c r="C908" s="50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</row>
    <row r="909" ht="12.75" customHeight="1">
      <c r="A909" s="51"/>
      <c r="B909" s="51"/>
      <c r="C909" s="50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</row>
    <row r="910" ht="12.75" customHeight="1">
      <c r="A910" s="51"/>
      <c r="B910" s="51"/>
      <c r="C910" s="50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</row>
    <row r="911" ht="12.75" customHeight="1">
      <c r="A911" s="51"/>
      <c r="B911" s="51"/>
      <c r="C911" s="50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</row>
    <row r="912" ht="12.75" customHeight="1">
      <c r="A912" s="51"/>
      <c r="B912" s="51"/>
      <c r="C912" s="50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</row>
    <row r="913" ht="12.75" customHeight="1">
      <c r="A913" s="51"/>
      <c r="B913" s="51"/>
      <c r="C913" s="50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</row>
    <row r="914" ht="12.75" customHeight="1">
      <c r="A914" s="51"/>
      <c r="B914" s="51"/>
      <c r="C914" s="50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</row>
    <row r="915" ht="12.75" customHeight="1">
      <c r="A915" s="51"/>
      <c r="B915" s="51"/>
      <c r="C915" s="50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</row>
    <row r="916" ht="12.75" customHeight="1">
      <c r="A916" s="51"/>
      <c r="B916" s="51"/>
      <c r="C916" s="50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</row>
    <row r="917" ht="12.75" customHeight="1">
      <c r="A917" s="51"/>
      <c r="B917" s="51"/>
      <c r="C917" s="50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</row>
    <row r="918" ht="12.75" customHeight="1">
      <c r="A918" s="51"/>
      <c r="B918" s="51"/>
      <c r="C918" s="50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</row>
    <row r="919" ht="12.75" customHeight="1">
      <c r="A919" s="51"/>
      <c r="B919" s="51"/>
      <c r="C919" s="50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</row>
    <row r="920" ht="12.75" customHeight="1">
      <c r="A920" s="51"/>
      <c r="B920" s="51"/>
      <c r="C920" s="50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</row>
    <row r="921" ht="12.75" customHeight="1">
      <c r="A921" s="51"/>
      <c r="B921" s="51"/>
      <c r="C921" s="50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</row>
    <row r="922" ht="12.75" customHeight="1">
      <c r="A922" s="51"/>
      <c r="B922" s="51"/>
      <c r="C922" s="50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</row>
    <row r="923" ht="12.75" customHeight="1">
      <c r="A923" s="51"/>
      <c r="B923" s="51"/>
      <c r="C923" s="50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</row>
    <row r="924" ht="12.75" customHeight="1">
      <c r="A924" s="51"/>
      <c r="B924" s="51"/>
      <c r="C924" s="50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</row>
    <row r="925" ht="12.75" customHeight="1">
      <c r="A925" s="51"/>
      <c r="B925" s="51"/>
      <c r="C925" s="50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</row>
    <row r="926" ht="12.75" customHeight="1">
      <c r="A926" s="51"/>
      <c r="B926" s="51"/>
      <c r="C926" s="50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</row>
    <row r="927" ht="12.75" customHeight="1">
      <c r="A927" s="51"/>
      <c r="B927" s="51"/>
      <c r="C927" s="50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</row>
    <row r="928" ht="12.75" customHeight="1">
      <c r="A928" s="51"/>
      <c r="B928" s="51"/>
      <c r="C928" s="50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</row>
    <row r="929" ht="12.75" customHeight="1">
      <c r="A929" s="51"/>
      <c r="B929" s="51"/>
      <c r="C929" s="50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</row>
    <row r="930" ht="12.75" customHeight="1">
      <c r="A930" s="51"/>
      <c r="B930" s="51"/>
      <c r="C930" s="50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</row>
    <row r="931" ht="12.75" customHeight="1">
      <c r="A931" s="51"/>
      <c r="B931" s="51"/>
      <c r="C931" s="50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</row>
    <row r="932" ht="12.75" customHeight="1">
      <c r="A932" s="51"/>
      <c r="B932" s="51"/>
      <c r="C932" s="50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</row>
    <row r="933" ht="12.75" customHeight="1">
      <c r="A933" s="51"/>
      <c r="B933" s="51"/>
      <c r="C933" s="50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</row>
    <row r="934" ht="12.75" customHeight="1">
      <c r="A934" s="51"/>
      <c r="B934" s="51"/>
      <c r="C934" s="50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</row>
    <row r="935" ht="12.75" customHeight="1">
      <c r="A935" s="51"/>
      <c r="B935" s="51"/>
      <c r="C935" s="50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</row>
    <row r="936" ht="12.75" customHeight="1">
      <c r="A936" s="51"/>
      <c r="B936" s="51"/>
      <c r="C936" s="50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</row>
    <row r="937" ht="12.75" customHeight="1">
      <c r="A937" s="51"/>
      <c r="B937" s="51"/>
      <c r="C937" s="50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</row>
    <row r="938" ht="12.75" customHeight="1">
      <c r="A938" s="51"/>
      <c r="B938" s="51"/>
      <c r="C938" s="50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</row>
    <row r="939" ht="12.75" customHeight="1">
      <c r="A939" s="51"/>
      <c r="B939" s="51"/>
      <c r="C939" s="50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</row>
    <row r="940" ht="12.75" customHeight="1">
      <c r="A940" s="51"/>
      <c r="B940" s="51"/>
      <c r="C940" s="50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</row>
    <row r="941" ht="12.75" customHeight="1">
      <c r="A941" s="51"/>
      <c r="B941" s="51"/>
      <c r="C941" s="50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</row>
    <row r="942" ht="12.75" customHeight="1">
      <c r="A942" s="51"/>
      <c r="B942" s="51"/>
      <c r="C942" s="50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</row>
    <row r="943" ht="12.75" customHeight="1">
      <c r="A943" s="51"/>
      <c r="B943" s="51"/>
      <c r="C943" s="50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</row>
    <row r="944" ht="12.75" customHeight="1">
      <c r="A944" s="51"/>
      <c r="B944" s="51"/>
      <c r="C944" s="50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</row>
    <row r="945" ht="12.75" customHeight="1">
      <c r="A945" s="51"/>
      <c r="B945" s="51"/>
      <c r="C945" s="50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</row>
    <row r="946" ht="12.75" customHeight="1">
      <c r="A946" s="51"/>
      <c r="B946" s="51"/>
      <c r="C946" s="50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</row>
    <row r="947" ht="12.75" customHeight="1">
      <c r="A947" s="51"/>
      <c r="B947" s="51"/>
      <c r="C947" s="50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</row>
    <row r="948" ht="12.75" customHeight="1">
      <c r="A948" s="51"/>
      <c r="B948" s="51"/>
      <c r="C948" s="50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</row>
    <row r="949" ht="12.75" customHeight="1">
      <c r="A949" s="51"/>
      <c r="B949" s="51"/>
      <c r="C949" s="50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</row>
    <row r="950" ht="12.75" customHeight="1">
      <c r="A950" s="51"/>
      <c r="B950" s="51"/>
      <c r="C950" s="50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</row>
    <row r="951" ht="12.75" customHeight="1">
      <c r="A951" s="51"/>
      <c r="B951" s="51"/>
      <c r="C951" s="50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</row>
    <row r="952" ht="12.75" customHeight="1">
      <c r="A952" s="51"/>
      <c r="B952" s="51"/>
      <c r="C952" s="50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</row>
    <row r="953" ht="12.75" customHeight="1">
      <c r="A953" s="51"/>
      <c r="B953" s="51"/>
      <c r="C953" s="50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</row>
    <row r="954" ht="12.75" customHeight="1">
      <c r="A954" s="51"/>
      <c r="B954" s="51"/>
      <c r="C954" s="50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</row>
    <row r="955" ht="12.75" customHeight="1">
      <c r="A955" s="51"/>
      <c r="B955" s="51"/>
      <c r="C955" s="50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</row>
    <row r="956" ht="12.75" customHeight="1">
      <c r="A956" s="51"/>
      <c r="B956" s="51"/>
      <c r="C956" s="50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</row>
    <row r="957" ht="12.75" customHeight="1">
      <c r="A957" s="51"/>
      <c r="B957" s="51"/>
      <c r="C957" s="50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</row>
    <row r="958" ht="12.75" customHeight="1">
      <c r="A958" s="51"/>
      <c r="B958" s="51"/>
      <c r="C958" s="50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</row>
    <row r="959" ht="12.75" customHeight="1">
      <c r="A959" s="51"/>
      <c r="B959" s="51"/>
      <c r="C959" s="50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</row>
    <row r="960" ht="12.75" customHeight="1">
      <c r="A960" s="51"/>
      <c r="B960" s="51"/>
      <c r="C960" s="50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</row>
    <row r="961" ht="12.75" customHeight="1">
      <c r="A961" s="51"/>
      <c r="B961" s="51"/>
      <c r="C961" s="50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</row>
    <row r="962" ht="12.75" customHeight="1">
      <c r="A962" s="51"/>
      <c r="B962" s="51"/>
      <c r="C962" s="50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</row>
    <row r="963" ht="12.75" customHeight="1">
      <c r="A963" s="51"/>
      <c r="B963" s="51"/>
      <c r="C963" s="50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</row>
    <row r="964" ht="12.75" customHeight="1">
      <c r="A964" s="51"/>
      <c r="B964" s="51"/>
      <c r="C964" s="50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</row>
    <row r="965" ht="12.75" customHeight="1">
      <c r="A965" s="51"/>
      <c r="B965" s="51"/>
      <c r="C965" s="50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</row>
    <row r="966" ht="12.75" customHeight="1">
      <c r="A966" s="51"/>
      <c r="B966" s="51"/>
      <c r="C966" s="50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</row>
    <row r="967" ht="12.75" customHeight="1">
      <c r="A967" s="51"/>
      <c r="B967" s="51"/>
      <c r="C967" s="50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</row>
    <row r="968" ht="12.75" customHeight="1">
      <c r="A968" s="51"/>
      <c r="B968" s="51"/>
      <c r="C968" s="50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</row>
    <row r="969" ht="12.75" customHeight="1">
      <c r="A969" s="51"/>
      <c r="B969" s="51"/>
      <c r="C969" s="50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</row>
    <row r="970" ht="12.75" customHeight="1">
      <c r="A970" s="51"/>
      <c r="B970" s="51"/>
      <c r="C970" s="50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</row>
    <row r="971" ht="12.75" customHeight="1">
      <c r="A971" s="51"/>
      <c r="B971" s="51"/>
      <c r="C971" s="50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</row>
    <row r="972" ht="12.75" customHeight="1">
      <c r="A972" s="51"/>
      <c r="B972" s="51"/>
      <c r="C972" s="50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</row>
    <row r="973" ht="12.75" customHeight="1">
      <c r="A973" s="51"/>
      <c r="B973" s="51"/>
      <c r="C973" s="50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</row>
    <row r="974" ht="12.75" customHeight="1">
      <c r="A974" s="51"/>
      <c r="B974" s="51"/>
      <c r="C974" s="50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</row>
    <row r="975" ht="12.75" customHeight="1">
      <c r="A975" s="51"/>
      <c r="B975" s="51"/>
      <c r="C975" s="50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</row>
    <row r="976" ht="12.75" customHeight="1">
      <c r="A976" s="51"/>
      <c r="B976" s="51"/>
      <c r="C976" s="50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</row>
    <row r="977" ht="12.75" customHeight="1">
      <c r="A977" s="51"/>
      <c r="B977" s="51"/>
      <c r="C977" s="50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</row>
    <row r="978" ht="12.75" customHeight="1">
      <c r="A978" s="51"/>
      <c r="B978" s="51"/>
      <c r="C978" s="50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</row>
    <row r="979" ht="12.75" customHeight="1">
      <c r="A979" s="51"/>
      <c r="B979" s="51"/>
      <c r="C979" s="50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</row>
    <row r="980" ht="12.75" customHeight="1">
      <c r="A980" s="51"/>
      <c r="B980" s="51"/>
      <c r="C980" s="50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</row>
    <row r="981" ht="12.75" customHeight="1">
      <c r="A981" s="51"/>
      <c r="B981" s="51"/>
      <c r="C981" s="50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</row>
    <row r="982" ht="12.75" customHeight="1">
      <c r="A982" s="51"/>
      <c r="B982" s="51"/>
      <c r="C982" s="50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</row>
    <row r="983" ht="12.75" customHeight="1">
      <c r="A983" s="51"/>
      <c r="B983" s="51"/>
      <c r="C983" s="50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</row>
    <row r="984" ht="12.75" customHeight="1">
      <c r="A984" s="51"/>
      <c r="B984" s="51"/>
      <c r="C984" s="50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</row>
    <row r="985" ht="12.75" customHeight="1">
      <c r="A985" s="51"/>
      <c r="B985" s="51"/>
      <c r="C985" s="50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</row>
    <row r="986" ht="12.75" customHeight="1">
      <c r="A986" s="51"/>
      <c r="B986" s="51"/>
      <c r="C986" s="50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</row>
    <row r="987" ht="12.75" customHeight="1">
      <c r="A987" s="51"/>
      <c r="B987" s="51"/>
      <c r="C987" s="50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</row>
    <row r="988" ht="12.75" customHeight="1">
      <c r="A988" s="51"/>
      <c r="B988" s="51"/>
      <c r="C988" s="50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</row>
    <row r="989" ht="12.75" customHeight="1">
      <c r="A989" s="51"/>
      <c r="B989" s="51"/>
      <c r="C989" s="50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</row>
    <row r="990" ht="12.75" customHeight="1">
      <c r="A990" s="51"/>
      <c r="B990" s="51"/>
      <c r="C990" s="50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</row>
    <row r="991" ht="12.75" customHeight="1">
      <c r="A991" s="51"/>
      <c r="B991" s="51"/>
      <c r="C991" s="50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</row>
    <row r="992" ht="12.75" customHeight="1">
      <c r="A992" s="51"/>
      <c r="B992" s="51"/>
      <c r="C992" s="50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</row>
    <row r="993" ht="12.75" customHeight="1">
      <c r="A993" s="51"/>
      <c r="B993" s="51"/>
      <c r="C993" s="50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</row>
    <row r="994" ht="12.75" customHeight="1">
      <c r="A994" s="51"/>
      <c r="B994" s="51"/>
      <c r="C994" s="50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</row>
    <row r="995" ht="12.75" customHeight="1">
      <c r="A995" s="51"/>
      <c r="B995" s="51"/>
      <c r="C995" s="50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</row>
    <row r="996" ht="12.75" customHeight="1">
      <c r="A996" s="51"/>
      <c r="B996" s="51"/>
      <c r="C996" s="50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</row>
    <row r="997" ht="12.75" customHeight="1">
      <c r="A997" s="51"/>
      <c r="B997" s="51"/>
      <c r="C997" s="50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</row>
    <row r="998" ht="12.75" customHeight="1">
      <c r="A998" s="51"/>
      <c r="B998" s="51"/>
      <c r="C998" s="50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</row>
    <row r="999" ht="12.75" customHeight="1">
      <c r="A999" s="51"/>
      <c r="B999" s="51"/>
      <c r="C999" s="50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</row>
    <row r="1000" ht="12.75" customHeight="1">
      <c r="A1000" s="51"/>
      <c r="B1000" s="51"/>
      <c r="C1000" s="50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</row>
  </sheetData>
  <mergeCells count="2">
    <mergeCell ref="C6:P6"/>
    <mergeCell ref="C7:P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2" width="8.71"/>
    <col customWidth="1" min="3" max="3" width="28.0"/>
    <col customWidth="1" min="4" max="16" width="17.57"/>
    <col customWidth="1" min="17" max="18" width="9.14"/>
    <col customWidth="1" min="19" max="19" width="12.43"/>
    <col customWidth="1" min="20" max="20" width="12.0"/>
    <col customWidth="1" min="21" max="21" width="13.0"/>
    <col customWidth="1" min="22" max="37" width="9.14"/>
  </cols>
  <sheetData>
    <row r="1" ht="12.75" customHeight="1">
      <c r="A1" s="51"/>
      <c r="B1" s="51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</row>
    <row r="2" ht="12.75" customHeight="1">
      <c r="A2" s="51"/>
      <c r="B2" s="51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</row>
    <row r="3" ht="12.75" customHeight="1">
      <c r="A3" s="51"/>
      <c r="B3" s="51"/>
      <c r="C3" s="4"/>
      <c r="D3" s="51"/>
      <c r="E3" s="51"/>
      <c r="F3" s="51"/>
      <c r="G3" s="3" t="s">
        <v>0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</row>
    <row r="4" ht="12.75" customHeight="1">
      <c r="A4" s="51"/>
      <c r="B4" s="51"/>
      <c r="C4" s="4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</row>
    <row r="5" ht="12.75" customHeight="1">
      <c r="A5" s="51"/>
      <c r="B5" s="51"/>
      <c r="C5" s="52" t="s">
        <v>97</v>
      </c>
      <c r="D5" s="5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</row>
    <row r="6" ht="12.75" customHeight="1">
      <c r="A6" s="51"/>
      <c r="B6" s="51"/>
      <c r="C6" s="71" t="s">
        <v>98</v>
      </c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</row>
    <row r="7" ht="12.75" customHeight="1">
      <c r="A7" s="51"/>
      <c r="B7" s="51"/>
      <c r="C7" s="55" t="s">
        <v>3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7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</row>
    <row r="8" ht="12.75" customHeight="1">
      <c r="A8" s="72"/>
      <c r="B8" s="72"/>
      <c r="C8" s="58" t="s">
        <v>4</v>
      </c>
      <c r="D8" s="59" t="s">
        <v>62</v>
      </c>
      <c r="E8" s="59" t="s">
        <v>63</v>
      </c>
      <c r="F8" s="59" t="s">
        <v>64</v>
      </c>
      <c r="G8" s="59" t="s">
        <v>65</v>
      </c>
      <c r="H8" s="59" t="s">
        <v>66</v>
      </c>
      <c r="I8" s="59" t="s">
        <v>67</v>
      </c>
      <c r="J8" s="59" t="s">
        <v>68</v>
      </c>
      <c r="K8" s="59" t="s">
        <v>69</v>
      </c>
      <c r="L8" s="59" t="s">
        <v>70</v>
      </c>
      <c r="M8" s="59" t="s">
        <v>71</v>
      </c>
      <c r="N8" s="59" t="s">
        <v>72</v>
      </c>
      <c r="O8" s="59" t="s">
        <v>73</v>
      </c>
      <c r="P8" s="59" t="s">
        <v>74</v>
      </c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</row>
    <row r="9" ht="12.75" customHeight="1">
      <c r="A9" s="73"/>
      <c r="B9" s="73"/>
      <c r="C9" s="18" t="s">
        <v>28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74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 ht="12.75" customHeight="1">
      <c r="A10" s="73"/>
      <c r="B10" s="73"/>
      <c r="C10" s="22" t="s">
        <v>75</v>
      </c>
      <c r="D10" s="31">
        <v>31918.8574276613</v>
      </c>
      <c r="E10" s="31">
        <v>35316.5847159009</v>
      </c>
      <c r="F10" s="31">
        <v>38009.408308970065</v>
      </c>
      <c r="G10" s="31">
        <v>35269.802203102525</v>
      </c>
      <c r="H10" s="31">
        <v>39025.19245554491</v>
      </c>
      <c r="I10" s="31">
        <v>36189.70618476411</v>
      </c>
      <c r="J10" s="31">
        <v>40753.817432594864</v>
      </c>
      <c r="K10" s="31">
        <v>40677.16018125563</v>
      </c>
      <c r="L10" s="31">
        <v>42729.454769538</v>
      </c>
      <c r="M10" s="31">
        <v>44554.49666013845</v>
      </c>
      <c r="N10" s="31">
        <v>42015.923901579794</v>
      </c>
      <c r="O10" s="31">
        <v>43698.913609201845</v>
      </c>
      <c r="P10" s="25">
        <f>SUM(D10:O10)</f>
        <v>470159.3179</v>
      </c>
      <c r="Q10" s="75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 ht="12.75" customHeight="1">
      <c r="A11" s="51"/>
      <c r="B11" s="51"/>
      <c r="C11" s="22" t="s">
        <v>76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25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</row>
    <row r="12" ht="12.75" customHeight="1">
      <c r="A12" s="51"/>
      <c r="B12" s="51"/>
      <c r="C12" s="31" t="s">
        <v>31</v>
      </c>
      <c r="D12" s="31">
        <v>1995.806722581793</v>
      </c>
      <c r="E12" s="31">
        <v>2251.9190131050077</v>
      </c>
      <c r="F12" s="31">
        <v>2063.7412315543506</v>
      </c>
      <c r="G12" s="31">
        <v>1815.985774696864</v>
      </c>
      <c r="H12" s="31">
        <v>1582.9280767768523</v>
      </c>
      <c r="I12" s="31">
        <v>1815.2616588978708</v>
      </c>
      <c r="J12" s="31">
        <v>2623.8014257505943</v>
      </c>
      <c r="K12" s="31">
        <v>3126.930000930989</v>
      </c>
      <c r="L12" s="31">
        <v>3308.746852741296</v>
      </c>
      <c r="M12" s="31">
        <v>3006.72702728835</v>
      </c>
      <c r="N12" s="31">
        <v>3916.2020080407847</v>
      </c>
      <c r="O12" s="31">
        <v>4616.369440820204</v>
      </c>
      <c r="P12" s="25">
        <f t="shared" ref="P12:P21" si="1">SUM(D12:O12)</f>
        <v>32124.41923</v>
      </c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</row>
    <row r="13" ht="12.75" customHeight="1">
      <c r="A13" s="51"/>
      <c r="B13" s="51"/>
      <c r="C13" s="61" t="s">
        <v>32</v>
      </c>
      <c r="D13" s="31">
        <v>234.3762861050031</v>
      </c>
      <c r="E13" s="31">
        <v>558.4378069543438</v>
      </c>
      <c r="F13" s="31">
        <v>138.64224449300002</v>
      </c>
      <c r="G13" s="31">
        <v>0.0</v>
      </c>
      <c r="H13" s="31">
        <v>281.30068533166354</v>
      </c>
      <c r="I13" s="31">
        <v>285.39442612848813</v>
      </c>
      <c r="J13" s="31">
        <v>0.0</v>
      </c>
      <c r="K13" s="31">
        <v>118.99462959999998</v>
      </c>
      <c r="L13" s="31">
        <v>0.0</v>
      </c>
      <c r="M13" s="31">
        <v>0.0</v>
      </c>
      <c r="N13" s="31">
        <v>0.0</v>
      </c>
      <c r="O13" s="31">
        <v>0.0</v>
      </c>
      <c r="P13" s="25">
        <f t="shared" si="1"/>
        <v>1617.146079</v>
      </c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</row>
    <row r="14" ht="12.75" customHeight="1">
      <c r="A14" s="51"/>
      <c r="B14" s="51"/>
      <c r="C14" s="31" t="s">
        <v>33</v>
      </c>
      <c r="D14" s="31">
        <v>860.7879100854848</v>
      </c>
      <c r="E14" s="31">
        <v>607.1722519547731</v>
      </c>
      <c r="F14" s="31">
        <v>717.7861933370001</v>
      </c>
      <c r="G14" s="31">
        <v>799.2476127392767</v>
      </c>
      <c r="H14" s="31">
        <v>672.0234256063524</v>
      </c>
      <c r="I14" s="31">
        <v>665.8601525641249</v>
      </c>
      <c r="J14" s="31">
        <v>640.0504551383948</v>
      </c>
      <c r="K14" s="31">
        <v>766.7697736</v>
      </c>
      <c r="L14" s="31">
        <v>767.6973611263991</v>
      </c>
      <c r="M14" s="31">
        <v>319.9755683</v>
      </c>
      <c r="N14" s="31">
        <v>746.2570123950046</v>
      </c>
      <c r="O14" s="31">
        <v>810.320792842783</v>
      </c>
      <c r="P14" s="25">
        <f t="shared" si="1"/>
        <v>8373.94851</v>
      </c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</row>
    <row r="15" ht="12.75" customHeight="1">
      <c r="A15" s="51"/>
      <c r="B15" s="51"/>
      <c r="C15" s="31" t="s">
        <v>34</v>
      </c>
      <c r="D15" s="31">
        <v>66.8824945</v>
      </c>
      <c r="E15" s="31">
        <v>89.3186372</v>
      </c>
      <c r="F15" s="31">
        <v>100.6608726</v>
      </c>
      <c r="G15" s="31">
        <v>91.812217</v>
      </c>
      <c r="H15" s="31">
        <v>79.5069849</v>
      </c>
      <c r="I15" s="31">
        <v>123.4942121</v>
      </c>
      <c r="J15" s="31">
        <v>23.2667418</v>
      </c>
      <c r="K15" s="31">
        <v>121.7345669</v>
      </c>
      <c r="L15" s="31">
        <v>150.572161</v>
      </c>
      <c r="M15" s="31">
        <v>112.2451995</v>
      </c>
      <c r="N15" s="31">
        <v>123.3319498</v>
      </c>
      <c r="O15" s="31">
        <v>26.1251158</v>
      </c>
      <c r="P15" s="25">
        <f t="shared" si="1"/>
        <v>1108.951153</v>
      </c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</row>
    <row r="16" ht="12.75" customHeight="1">
      <c r="A16" s="51"/>
      <c r="B16" s="51"/>
      <c r="C16" s="61" t="s">
        <v>35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31">
        <v>0.0</v>
      </c>
      <c r="O16" s="31">
        <v>0.0</v>
      </c>
      <c r="P16" s="25">
        <f t="shared" si="1"/>
        <v>0</v>
      </c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</row>
    <row r="17" ht="12.75" customHeight="1">
      <c r="A17" s="51"/>
      <c r="B17" s="51"/>
      <c r="C17" s="31" t="s">
        <v>36</v>
      </c>
      <c r="D17" s="31">
        <v>1326.6185939725322</v>
      </c>
      <c r="E17" s="31">
        <v>643.977663905319</v>
      </c>
      <c r="F17" s="31">
        <v>2.2629915</v>
      </c>
      <c r="G17" s="31">
        <v>4.389593</v>
      </c>
      <c r="H17" s="31">
        <v>1.7036482</v>
      </c>
      <c r="I17" s="31">
        <v>0.8601201</v>
      </c>
      <c r="J17" s="31">
        <v>16.7729169</v>
      </c>
      <c r="K17" s="31">
        <v>8.2626023</v>
      </c>
      <c r="L17" s="31">
        <v>356.67212296363397</v>
      </c>
      <c r="M17" s="31">
        <v>575.9663509786931</v>
      </c>
      <c r="N17" s="31">
        <v>20.1026589</v>
      </c>
      <c r="O17" s="31">
        <v>1.2464123</v>
      </c>
      <c r="P17" s="25">
        <f t="shared" si="1"/>
        <v>2958.835675</v>
      </c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</row>
    <row r="18" ht="12.75" customHeight="1">
      <c r="A18" s="51"/>
      <c r="B18" s="51"/>
      <c r="C18" s="31" t="s">
        <v>37</v>
      </c>
      <c r="D18" s="31">
        <v>653.5439166</v>
      </c>
      <c r="E18" s="31">
        <v>588.2058043</v>
      </c>
      <c r="F18" s="31">
        <v>879.0863406</v>
      </c>
      <c r="G18" s="31">
        <v>963.1033887</v>
      </c>
      <c r="H18" s="31">
        <v>679.002558</v>
      </c>
      <c r="I18" s="31">
        <v>545.3927762</v>
      </c>
      <c r="J18" s="31">
        <v>744.1952972</v>
      </c>
      <c r="K18" s="31">
        <v>724.3139124</v>
      </c>
      <c r="L18" s="31">
        <v>740.7450043</v>
      </c>
      <c r="M18" s="31">
        <v>729.8848108</v>
      </c>
      <c r="N18" s="31">
        <v>750.2557014</v>
      </c>
      <c r="O18" s="31">
        <v>627.5550322</v>
      </c>
      <c r="P18" s="25">
        <f t="shared" si="1"/>
        <v>8625.284543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</row>
    <row r="19" ht="12.75" customHeight="1">
      <c r="A19" s="51"/>
      <c r="B19" s="51"/>
      <c r="C19" s="31" t="s">
        <v>38</v>
      </c>
      <c r="D19" s="31">
        <v>107.8554375</v>
      </c>
      <c r="E19" s="31">
        <v>159.7361243</v>
      </c>
      <c r="F19" s="31">
        <v>165.126210484</v>
      </c>
      <c r="G19" s="31">
        <v>149.7659991</v>
      </c>
      <c r="H19" s="31">
        <v>55.4500109</v>
      </c>
      <c r="I19" s="31">
        <v>270.243056348618</v>
      </c>
      <c r="J19" s="31">
        <v>154.6175716</v>
      </c>
      <c r="K19" s="31">
        <v>147.1678562133372</v>
      </c>
      <c r="L19" s="31">
        <v>196.9783432</v>
      </c>
      <c r="M19" s="31">
        <v>119.0394279497721</v>
      </c>
      <c r="N19" s="31">
        <v>140.1129551</v>
      </c>
      <c r="O19" s="31">
        <v>181.6086196574056</v>
      </c>
      <c r="P19" s="25">
        <f t="shared" si="1"/>
        <v>1847.701612</v>
      </c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</row>
    <row r="20" ht="12.75" customHeight="1">
      <c r="A20" s="51"/>
      <c r="B20" s="51"/>
      <c r="C20" s="31" t="s">
        <v>39</v>
      </c>
      <c r="D20" s="31">
        <v>181.8291431</v>
      </c>
      <c r="E20" s="31">
        <v>229.80426934399998</v>
      </c>
      <c r="F20" s="31">
        <v>131.4705578</v>
      </c>
      <c r="G20" s="31">
        <v>39.6948499</v>
      </c>
      <c r="H20" s="31">
        <v>43.2917612</v>
      </c>
      <c r="I20" s="31">
        <v>40.2788567</v>
      </c>
      <c r="J20" s="31">
        <v>141.5727963</v>
      </c>
      <c r="K20" s="31">
        <v>116.9034723</v>
      </c>
      <c r="L20" s="31">
        <v>160.9860421</v>
      </c>
      <c r="M20" s="31">
        <v>160.8870428</v>
      </c>
      <c r="N20" s="31">
        <v>187.1513098</v>
      </c>
      <c r="O20" s="31">
        <v>204.2461052</v>
      </c>
      <c r="P20" s="25">
        <f t="shared" si="1"/>
        <v>1638.116207</v>
      </c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</row>
    <row r="21" ht="12.75" customHeight="1">
      <c r="A21" s="51"/>
      <c r="B21" s="51"/>
      <c r="C21" s="31" t="s">
        <v>95</v>
      </c>
      <c r="D21" s="31">
        <v>986.5935045815465</v>
      </c>
      <c r="E21" s="31">
        <v>809.7002510758141</v>
      </c>
      <c r="F21" s="31">
        <v>915.6451357199999</v>
      </c>
      <c r="G21" s="31">
        <v>885.0081255560935</v>
      </c>
      <c r="H21" s="31">
        <v>1555.937553917406</v>
      </c>
      <c r="I21" s="31">
        <v>1415.937831266357</v>
      </c>
      <c r="J21" s="31">
        <v>1280.1302226956307</v>
      </c>
      <c r="K21" s="31">
        <v>947.4982007630674</v>
      </c>
      <c r="L21" s="31">
        <v>880.3961580192384</v>
      </c>
      <c r="M21" s="31">
        <v>1293.8653473070128</v>
      </c>
      <c r="N21" s="31">
        <v>1028.365650854</v>
      </c>
      <c r="O21" s="31">
        <v>1272.2056790956199</v>
      </c>
      <c r="P21" s="25">
        <f t="shared" si="1"/>
        <v>13271.28366</v>
      </c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</row>
    <row r="22" ht="12.75" customHeight="1">
      <c r="A22" s="51"/>
      <c r="B22" s="51"/>
      <c r="C22" s="62" t="s">
        <v>79</v>
      </c>
      <c r="D22" s="63">
        <f t="shared" ref="D22:P22" si="2">SUM(D12:D21)</f>
        <v>6414.294009</v>
      </c>
      <c r="E22" s="63">
        <f t="shared" si="2"/>
        <v>5938.271822</v>
      </c>
      <c r="F22" s="63">
        <f t="shared" si="2"/>
        <v>5114.421778</v>
      </c>
      <c r="G22" s="63">
        <f t="shared" si="2"/>
        <v>4749.007561</v>
      </c>
      <c r="H22" s="63">
        <f t="shared" si="2"/>
        <v>4951.144705</v>
      </c>
      <c r="I22" s="63">
        <f t="shared" si="2"/>
        <v>5162.72309</v>
      </c>
      <c r="J22" s="63">
        <f t="shared" si="2"/>
        <v>5624.407427</v>
      </c>
      <c r="K22" s="63">
        <f t="shared" si="2"/>
        <v>6078.575015</v>
      </c>
      <c r="L22" s="63">
        <f t="shared" si="2"/>
        <v>6562.794045</v>
      </c>
      <c r="M22" s="63">
        <f t="shared" si="2"/>
        <v>6318.590775</v>
      </c>
      <c r="N22" s="63">
        <f t="shared" si="2"/>
        <v>6911.779246</v>
      </c>
      <c r="O22" s="63">
        <f t="shared" si="2"/>
        <v>7739.677198</v>
      </c>
      <c r="P22" s="63">
        <f t="shared" si="2"/>
        <v>71565.68667</v>
      </c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</row>
    <row r="23" ht="12.75" customHeight="1">
      <c r="A23" s="51"/>
      <c r="B23" s="51"/>
      <c r="C23" s="64" t="s">
        <v>80</v>
      </c>
      <c r="D23" s="63">
        <f t="shared" ref="D23:H23" si="3">+D22+D10</f>
        <v>38333.15144</v>
      </c>
      <c r="E23" s="63">
        <f t="shared" si="3"/>
        <v>41254.85654</v>
      </c>
      <c r="F23" s="63">
        <f t="shared" si="3"/>
        <v>43123.83009</v>
      </c>
      <c r="G23" s="63">
        <f t="shared" si="3"/>
        <v>40018.80976</v>
      </c>
      <c r="H23" s="63">
        <f t="shared" si="3"/>
        <v>43976.33716</v>
      </c>
      <c r="I23" s="63">
        <f t="shared" ref="I23:P23" si="4">+I10+I22</f>
        <v>41352.42928</v>
      </c>
      <c r="J23" s="63">
        <f t="shared" si="4"/>
        <v>46378.22486</v>
      </c>
      <c r="K23" s="63">
        <f t="shared" si="4"/>
        <v>46755.7352</v>
      </c>
      <c r="L23" s="63">
        <f t="shared" si="4"/>
        <v>49292.24881</v>
      </c>
      <c r="M23" s="63">
        <f t="shared" si="4"/>
        <v>50873.08744</v>
      </c>
      <c r="N23" s="63">
        <f t="shared" si="4"/>
        <v>48927.70315</v>
      </c>
      <c r="O23" s="63">
        <f t="shared" si="4"/>
        <v>51438.59081</v>
      </c>
      <c r="P23" s="63">
        <f t="shared" si="4"/>
        <v>541725.0045</v>
      </c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</row>
    <row r="24" ht="12.75" customHeight="1">
      <c r="A24" s="51"/>
      <c r="B24" s="51"/>
      <c r="C24" s="18" t="s">
        <v>99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25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</row>
    <row r="25" ht="12.75" customHeight="1">
      <c r="A25" s="51"/>
      <c r="B25" s="51"/>
      <c r="C25" s="31" t="s">
        <v>31</v>
      </c>
      <c r="D25" s="31">
        <v>88.37</v>
      </c>
      <c r="E25" s="31">
        <v>101.81</v>
      </c>
      <c r="F25" s="31">
        <v>109.87</v>
      </c>
      <c r="G25" s="31">
        <v>89.68</v>
      </c>
      <c r="H25" s="31">
        <v>69.38</v>
      </c>
      <c r="I25" s="31">
        <v>64.16</v>
      </c>
      <c r="J25" s="31">
        <v>78.01</v>
      </c>
      <c r="K25" s="31">
        <v>81.49000000000001</v>
      </c>
      <c r="L25" s="31">
        <v>116.3</v>
      </c>
      <c r="M25" s="31">
        <v>109.31</v>
      </c>
      <c r="N25" s="31">
        <v>113.92</v>
      </c>
      <c r="O25" s="31">
        <v>145.41</v>
      </c>
      <c r="P25" s="25">
        <f t="shared" ref="P25:P35" si="5">SUM(D25:O25)</f>
        <v>1167.71</v>
      </c>
      <c r="Q25" s="77">
        <v>1167.7099999999998</v>
      </c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</row>
    <row r="26" ht="12.75" customHeight="1">
      <c r="A26" s="51"/>
      <c r="B26" s="51"/>
      <c r="C26" s="61" t="s">
        <v>81</v>
      </c>
      <c r="D26" s="31">
        <v>4308.421118712587</v>
      </c>
      <c r="E26" s="31">
        <v>5199.140678657019</v>
      </c>
      <c r="F26" s="31">
        <v>4936.822928878635</v>
      </c>
      <c r="G26" s="31">
        <v>4000.7456862975732</v>
      </c>
      <c r="H26" s="31">
        <v>3710.6674124012543</v>
      </c>
      <c r="I26" s="31">
        <v>4076.0604696278574</v>
      </c>
      <c r="J26" s="31">
        <v>4432.144172856268</v>
      </c>
      <c r="K26" s="31">
        <v>3723.8836923901313</v>
      </c>
      <c r="L26" s="31">
        <v>3851.546208664349</v>
      </c>
      <c r="M26" s="31">
        <v>4047.0202691496243</v>
      </c>
      <c r="N26" s="31">
        <v>4762.019216304836</v>
      </c>
      <c r="O26" s="31">
        <v>5871.070510973987</v>
      </c>
      <c r="P26" s="25">
        <f t="shared" si="5"/>
        <v>52919.54236</v>
      </c>
      <c r="Q26" s="77">
        <v>52919.542364914116</v>
      </c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</row>
    <row r="27" ht="12.75" customHeight="1">
      <c r="A27" s="51"/>
      <c r="B27" s="51"/>
      <c r="C27" s="31" t="s">
        <v>82</v>
      </c>
      <c r="D27" s="31">
        <v>1237.6112542602673</v>
      </c>
      <c r="E27" s="31">
        <v>1578.5244635889644</v>
      </c>
      <c r="F27" s="31">
        <v>1657.377894866338</v>
      </c>
      <c r="G27" s="31">
        <v>1661.114714749955</v>
      </c>
      <c r="H27" s="31">
        <v>2170.3114742361267</v>
      </c>
      <c r="I27" s="31">
        <v>2320.1057920508347</v>
      </c>
      <c r="J27" s="31">
        <v>2103.826708968764</v>
      </c>
      <c r="K27" s="31">
        <v>2004.7258171325398</v>
      </c>
      <c r="L27" s="31">
        <v>2647.761497663664</v>
      </c>
      <c r="M27" s="31">
        <v>2692.6501648970907</v>
      </c>
      <c r="N27" s="31">
        <v>1800.405722872</v>
      </c>
      <c r="O27" s="31">
        <v>2741.4850095913707</v>
      </c>
      <c r="P27" s="25">
        <f t="shared" si="5"/>
        <v>24615.90051</v>
      </c>
      <c r="Q27" s="77">
        <v>24615.900514877918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</row>
    <row r="28" ht="12.75" customHeight="1">
      <c r="A28" s="51"/>
      <c r="B28" s="51"/>
      <c r="C28" s="31" t="s">
        <v>83</v>
      </c>
      <c r="D28" s="31">
        <v>1741.1216332613349</v>
      </c>
      <c r="E28" s="31">
        <v>1708.8184842835376</v>
      </c>
      <c r="F28" s="31">
        <v>1988.0083264739997</v>
      </c>
      <c r="G28" s="31">
        <v>1426.2800072766422</v>
      </c>
      <c r="H28" s="31">
        <v>1877.6248618289999</v>
      </c>
      <c r="I28" s="31">
        <v>1555.315704035</v>
      </c>
      <c r="J28" s="31">
        <v>1986.365643227915</v>
      </c>
      <c r="K28" s="31">
        <v>1722.0095321222275</v>
      </c>
      <c r="L28" s="31">
        <v>2367.4357339910657</v>
      </c>
      <c r="M28" s="31">
        <v>1858.44961809515</v>
      </c>
      <c r="N28" s="31">
        <v>1709.032215778</v>
      </c>
      <c r="O28" s="31">
        <v>2353.6758702862912</v>
      </c>
      <c r="P28" s="25">
        <f t="shared" si="5"/>
        <v>22294.13763</v>
      </c>
      <c r="Q28" s="77">
        <v>22294.13763066016</v>
      </c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</row>
    <row r="29" ht="12.75" customHeight="1">
      <c r="A29" s="51"/>
      <c r="B29" s="51"/>
      <c r="C29" s="61" t="s">
        <v>35</v>
      </c>
      <c r="D29" s="31">
        <v>5.17</v>
      </c>
      <c r="E29" s="31">
        <v>4.12</v>
      </c>
      <c r="F29" s="31">
        <v>4.23</v>
      </c>
      <c r="G29" s="31">
        <v>4.17</v>
      </c>
      <c r="H29" s="31">
        <v>3.57</v>
      </c>
      <c r="I29" s="31">
        <v>4.54</v>
      </c>
      <c r="J29" s="31">
        <v>4.49</v>
      </c>
      <c r="K29" s="31">
        <v>3.81</v>
      </c>
      <c r="L29" s="31">
        <v>4.88</v>
      </c>
      <c r="M29" s="31">
        <v>5.24</v>
      </c>
      <c r="N29" s="31">
        <v>4.53</v>
      </c>
      <c r="O29" s="31">
        <v>5.66</v>
      </c>
      <c r="P29" s="25">
        <f t="shared" si="5"/>
        <v>54.41</v>
      </c>
      <c r="Q29" s="77">
        <v>54.41000000000001</v>
      </c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</row>
    <row r="30" ht="12.75" customHeight="1">
      <c r="A30" s="51"/>
      <c r="B30" s="51"/>
      <c r="C30" s="31" t="s">
        <v>36</v>
      </c>
      <c r="D30" s="31">
        <v>5091.754496685126</v>
      </c>
      <c r="E30" s="31">
        <v>4042.030736200667</v>
      </c>
      <c r="F30" s="31">
        <v>6660.195194918639</v>
      </c>
      <c r="G30" s="31">
        <v>6394.3281670834795</v>
      </c>
      <c r="H30" s="31">
        <v>7620.66126548485</v>
      </c>
      <c r="I30" s="31">
        <v>7737.635905980303</v>
      </c>
      <c r="J30" s="31">
        <v>8213.193877894984</v>
      </c>
      <c r="K30" s="31">
        <v>7073.061619633143</v>
      </c>
      <c r="L30" s="31">
        <v>7016.321446568646</v>
      </c>
      <c r="M30" s="31">
        <v>6080.808898726787</v>
      </c>
      <c r="N30" s="31">
        <v>5843.827074773731</v>
      </c>
      <c r="O30" s="31">
        <v>8083.442188511796</v>
      </c>
      <c r="P30" s="25">
        <f t="shared" si="5"/>
        <v>79857.26087</v>
      </c>
      <c r="Q30" s="77">
        <v>79857.26087246214</v>
      </c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</row>
    <row r="31" ht="12.75" customHeight="1">
      <c r="A31" s="51"/>
      <c r="B31" s="51"/>
      <c r="C31" s="31" t="s">
        <v>46</v>
      </c>
      <c r="D31" s="31">
        <v>0.0</v>
      </c>
      <c r="E31" s="31">
        <v>0.0</v>
      </c>
      <c r="F31" s="31">
        <v>0.0</v>
      </c>
      <c r="G31" s="31">
        <v>0.0890983</v>
      </c>
      <c r="H31" s="31">
        <v>0.0</v>
      </c>
      <c r="I31" s="31">
        <v>0.0</v>
      </c>
      <c r="J31" s="31">
        <v>0.0</v>
      </c>
      <c r="K31" s="31">
        <v>52.33305</v>
      </c>
      <c r="L31" s="31">
        <v>0.0</v>
      </c>
      <c r="M31" s="31">
        <v>114.42385</v>
      </c>
      <c r="N31" s="31">
        <v>130.09088764375002</v>
      </c>
      <c r="O31" s="31">
        <v>101.9205</v>
      </c>
      <c r="P31" s="25">
        <f t="shared" si="5"/>
        <v>398.8573859</v>
      </c>
      <c r="Q31" s="77">
        <v>398.85738594375005</v>
      </c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</row>
    <row r="32" ht="12.75" customHeight="1">
      <c r="A32" s="51"/>
      <c r="B32" s="51"/>
      <c r="C32" s="31" t="s">
        <v>47</v>
      </c>
      <c r="D32" s="31">
        <v>3.9040697120000005</v>
      </c>
      <c r="E32" s="31">
        <v>12.010889044999999</v>
      </c>
      <c r="F32" s="31">
        <v>19.979799999999997</v>
      </c>
      <c r="G32" s="31">
        <v>6.5</v>
      </c>
      <c r="H32" s="31">
        <v>7.6000000000000005</v>
      </c>
      <c r="I32" s="31">
        <v>8.39</v>
      </c>
      <c r="J32" s="31">
        <v>5.739999999999999</v>
      </c>
      <c r="K32" s="31">
        <v>6.4399999999999995</v>
      </c>
      <c r="L32" s="31">
        <v>7.38</v>
      </c>
      <c r="M32" s="31">
        <v>5.989999999999999</v>
      </c>
      <c r="N32" s="31">
        <v>7.8</v>
      </c>
      <c r="O32" s="31">
        <v>12.01</v>
      </c>
      <c r="P32" s="25">
        <f t="shared" si="5"/>
        <v>103.7447588</v>
      </c>
      <c r="Q32" s="77">
        <v>103.74475875699999</v>
      </c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</row>
    <row r="33" ht="12.75" customHeight="1">
      <c r="A33" s="51"/>
      <c r="B33" s="51"/>
      <c r="C33" s="31" t="s">
        <v>38</v>
      </c>
      <c r="D33" s="31">
        <v>112.64485140000002</v>
      </c>
      <c r="E33" s="31">
        <v>175.4914673</v>
      </c>
      <c r="F33" s="31">
        <v>281.64993400000003</v>
      </c>
      <c r="G33" s="31">
        <v>292.71188383053925</v>
      </c>
      <c r="H33" s="31">
        <v>518.000021587</v>
      </c>
      <c r="I33" s="31">
        <v>381.163111039</v>
      </c>
      <c r="J33" s="31">
        <v>599.5508692161001</v>
      </c>
      <c r="K33" s="31">
        <v>623.7587715747001</v>
      </c>
      <c r="L33" s="31">
        <v>277.76191883959996</v>
      </c>
      <c r="M33" s="31">
        <v>203.81792698614998</v>
      </c>
      <c r="N33" s="31">
        <v>106.71257628125</v>
      </c>
      <c r="O33" s="31">
        <v>356.53574293750006</v>
      </c>
      <c r="P33" s="25">
        <f t="shared" si="5"/>
        <v>3929.799075</v>
      </c>
      <c r="Q33" s="77">
        <v>3929.799074991839</v>
      </c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</row>
    <row r="34" ht="12.75" customHeight="1">
      <c r="A34" s="51"/>
      <c r="B34" s="51"/>
      <c r="C34" s="31" t="s">
        <v>39</v>
      </c>
      <c r="D34" s="31">
        <v>5.064034066</v>
      </c>
      <c r="E34" s="31">
        <v>0.0</v>
      </c>
      <c r="F34" s="31">
        <v>4.37513015</v>
      </c>
      <c r="G34" s="31">
        <v>3.143382519</v>
      </c>
      <c r="H34" s="31">
        <v>5.251732489</v>
      </c>
      <c r="I34" s="31">
        <v>3.316142421</v>
      </c>
      <c r="J34" s="31">
        <v>5.381769121</v>
      </c>
      <c r="K34" s="31">
        <v>0.0</v>
      </c>
      <c r="L34" s="31">
        <v>0.0</v>
      </c>
      <c r="M34" s="31">
        <v>5.0938463</v>
      </c>
      <c r="N34" s="31">
        <v>1.221</v>
      </c>
      <c r="O34" s="31">
        <v>4.12099</v>
      </c>
      <c r="P34" s="25">
        <f t="shared" si="5"/>
        <v>36.96802707</v>
      </c>
      <c r="Q34" s="77">
        <v>36.968027066</v>
      </c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</row>
    <row r="35" ht="12.75" customHeight="1">
      <c r="A35" s="51"/>
      <c r="B35" s="51"/>
      <c r="C35" s="31" t="s">
        <v>95</v>
      </c>
      <c r="D35" s="31">
        <v>348.8198035268248</v>
      </c>
      <c r="E35" s="31">
        <v>706.3268646394301</v>
      </c>
      <c r="F35" s="31">
        <v>506.06875557919994</v>
      </c>
      <c r="G35" s="31">
        <v>558.1949665152001</v>
      </c>
      <c r="H35" s="31">
        <v>523.4924522622966</v>
      </c>
      <c r="I35" s="31">
        <v>624.2723863144</v>
      </c>
      <c r="J35" s="31">
        <v>1029.9903067750572</v>
      </c>
      <c r="K35" s="31">
        <v>482.3712807600953</v>
      </c>
      <c r="L35" s="31">
        <v>1111.07428145978</v>
      </c>
      <c r="M35" s="31">
        <v>1793.94893003368</v>
      </c>
      <c r="N35" s="31">
        <v>960.2511511759193</v>
      </c>
      <c r="O35" s="31">
        <v>869.5005791521601</v>
      </c>
      <c r="P35" s="25">
        <f t="shared" si="5"/>
        <v>9514.311758</v>
      </c>
      <c r="Q35" s="77">
        <v>9514.311758194042</v>
      </c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</row>
    <row r="36" ht="12.75" customHeight="1">
      <c r="A36" s="51"/>
      <c r="B36" s="51"/>
      <c r="C36" s="65" t="s">
        <v>86</v>
      </c>
      <c r="D36" s="63">
        <f t="shared" ref="D36:P36" si="6">SUM(D25:D35)</f>
        <v>12942.88126</v>
      </c>
      <c r="E36" s="63">
        <f t="shared" si="6"/>
        <v>13528.27358</v>
      </c>
      <c r="F36" s="63">
        <f t="shared" si="6"/>
        <v>16168.57796</v>
      </c>
      <c r="G36" s="63">
        <f t="shared" si="6"/>
        <v>14436.95791</v>
      </c>
      <c r="H36" s="63">
        <f t="shared" si="6"/>
        <v>16506.55922</v>
      </c>
      <c r="I36" s="63">
        <f t="shared" si="6"/>
        <v>16774.95951</v>
      </c>
      <c r="J36" s="63">
        <f t="shared" si="6"/>
        <v>18458.69335</v>
      </c>
      <c r="K36" s="63">
        <f t="shared" si="6"/>
        <v>15773.88376</v>
      </c>
      <c r="L36" s="63">
        <f t="shared" si="6"/>
        <v>17400.46109</v>
      </c>
      <c r="M36" s="63">
        <f t="shared" si="6"/>
        <v>16916.7535</v>
      </c>
      <c r="N36" s="63">
        <f t="shared" si="6"/>
        <v>15439.80984</v>
      </c>
      <c r="O36" s="63">
        <f t="shared" si="6"/>
        <v>20544.83139</v>
      </c>
      <c r="P36" s="63">
        <f t="shared" si="6"/>
        <v>194892.6424</v>
      </c>
      <c r="Q36" s="77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</row>
    <row r="37" ht="12.75" customHeight="1">
      <c r="A37" s="51"/>
      <c r="B37" s="51"/>
      <c r="C37" s="64" t="s">
        <v>50</v>
      </c>
      <c r="D37" s="63">
        <f t="shared" ref="D37:P37" si="7">+D23-D36</f>
        <v>25390.27018</v>
      </c>
      <c r="E37" s="63">
        <f t="shared" si="7"/>
        <v>27726.58295</v>
      </c>
      <c r="F37" s="63">
        <f t="shared" si="7"/>
        <v>26955.25212</v>
      </c>
      <c r="G37" s="63">
        <f t="shared" si="7"/>
        <v>25581.85186</v>
      </c>
      <c r="H37" s="63">
        <f t="shared" si="7"/>
        <v>27469.77794</v>
      </c>
      <c r="I37" s="63">
        <f t="shared" si="7"/>
        <v>24577.46976</v>
      </c>
      <c r="J37" s="63">
        <f t="shared" si="7"/>
        <v>27919.53151</v>
      </c>
      <c r="K37" s="63">
        <f t="shared" si="7"/>
        <v>30981.85143</v>
      </c>
      <c r="L37" s="63">
        <f t="shared" si="7"/>
        <v>31891.78773</v>
      </c>
      <c r="M37" s="63">
        <f t="shared" si="7"/>
        <v>33956.33393</v>
      </c>
      <c r="N37" s="63">
        <f t="shared" si="7"/>
        <v>33487.8933</v>
      </c>
      <c r="O37" s="63">
        <f t="shared" si="7"/>
        <v>30893.75942</v>
      </c>
      <c r="P37" s="63">
        <f t="shared" si="7"/>
        <v>346832.3621</v>
      </c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</row>
    <row r="38" ht="12.75" customHeight="1">
      <c r="A38" s="51"/>
      <c r="B38" s="51"/>
      <c r="C38" s="78" t="s">
        <v>52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</row>
    <row r="39" ht="12.75" customHeight="1">
      <c r="A39" s="51"/>
      <c r="B39" s="51"/>
      <c r="C39" s="44" t="s">
        <v>53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</row>
    <row r="40" ht="12.75" customHeight="1">
      <c r="A40" s="51"/>
      <c r="B40" s="51"/>
      <c r="C40" s="47" t="s">
        <v>54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 ht="12.75" customHeight="1">
      <c r="A41" s="51"/>
      <c r="B41" s="51"/>
      <c r="C41" s="47" t="s">
        <v>55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</row>
    <row r="42" ht="12.75" customHeight="1">
      <c r="A42" s="51"/>
      <c r="B42" s="51"/>
      <c r="C42" s="47" t="s">
        <v>56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51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</row>
    <row r="43" ht="12.75" customHeight="1">
      <c r="A43" s="51"/>
      <c r="B43" s="51"/>
      <c r="C43" s="47" t="s">
        <v>57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51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</row>
    <row r="44" ht="12.75" customHeight="1">
      <c r="A44" s="51"/>
      <c r="B44" s="51"/>
      <c r="C44" s="47" t="s">
        <v>58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51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</row>
    <row r="45" ht="12.75" customHeight="1">
      <c r="A45" s="51"/>
      <c r="B45" s="51"/>
      <c r="C45" s="47" t="s">
        <v>59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51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</row>
    <row r="46" ht="12.75" customHeight="1">
      <c r="A46" s="51"/>
      <c r="B46" s="51"/>
      <c r="C46" s="47" t="s">
        <v>60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51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</row>
    <row r="47" ht="12.75" customHeight="1">
      <c r="A47" s="51"/>
      <c r="B47" s="51"/>
      <c r="C47" s="5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</row>
    <row r="48" ht="12.75" customHeight="1">
      <c r="A48" s="51"/>
      <c r="B48" s="51"/>
      <c r="C48" s="50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</row>
    <row r="49" ht="12.75" customHeight="1">
      <c r="A49" s="51"/>
      <c r="B49" s="51"/>
      <c r="C49" s="50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</row>
    <row r="50" ht="12.75" customHeight="1">
      <c r="A50" s="51"/>
      <c r="B50" s="51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</row>
    <row r="51" ht="12.75" customHeight="1">
      <c r="A51" s="51"/>
      <c r="B51" s="51"/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</row>
    <row r="52" ht="12.75" customHeight="1">
      <c r="A52" s="51"/>
      <c r="B52" s="51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</row>
    <row r="53" ht="12.75" customHeight="1">
      <c r="A53" s="51"/>
      <c r="B53" s="51"/>
      <c r="C53" s="5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</row>
    <row r="54" ht="12.75" customHeight="1">
      <c r="A54" s="51"/>
      <c r="B54" s="51"/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</row>
    <row r="55" ht="12.75" customHeight="1">
      <c r="A55" s="51"/>
      <c r="B55" s="51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</row>
    <row r="56" ht="12.75" customHeight="1">
      <c r="A56" s="51"/>
      <c r="B56" s="51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</row>
    <row r="57" ht="12.75" customHeight="1">
      <c r="A57" s="51"/>
      <c r="B57" s="51"/>
      <c r="C57" s="5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</row>
    <row r="58" ht="12.75" customHeight="1">
      <c r="A58" s="51"/>
      <c r="B58" s="51"/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</row>
    <row r="59" ht="12.75" customHeight="1">
      <c r="A59" s="51"/>
      <c r="B59" s="51"/>
      <c r="C59" s="50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</row>
    <row r="60" ht="12.75" customHeight="1">
      <c r="A60" s="51"/>
      <c r="B60" s="51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</row>
    <row r="61" ht="12.75" customHeight="1">
      <c r="A61" s="51"/>
      <c r="B61" s="51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</row>
    <row r="62" ht="12.75" customHeight="1">
      <c r="A62" s="51"/>
      <c r="B62" s="51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</row>
    <row r="63" ht="12.75" customHeight="1">
      <c r="A63" s="51"/>
      <c r="B63" s="51"/>
      <c r="C63" s="50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</row>
    <row r="64" ht="12.75" customHeight="1">
      <c r="A64" s="51"/>
      <c r="B64" s="51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</row>
    <row r="65" ht="12.75" customHeight="1">
      <c r="A65" s="51"/>
      <c r="B65" s="51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</row>
    <row r="66" ht="12.75" customHeight="1">
      <c r="A66" s="51"/>
      <c r="B66" s="51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</row>
    <row r="67" ht="12.75" customHeight="1">
      <c r="A67" s="51"/>
      <c r="B67" s="51"/>
      <c r="C67" s="50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</row>
    <row r="68" ht="12.75" customHeight="1">
      <c r="A68" s="51"/>
      <c r="B68" s="51"/>
      <c r="C68" s="50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</row>
    <row r="69" ht="12.75" customHeight="1">
      <c r="A69" s="51"/>
      <c r="B69" s="51"/>
      <c r="C69" s="50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</row>
    <row r="70" ht="12.75" customHeight="1">
      <c r="A70" s="51"/>
      <c r="B70" s="51"/>
      <c r="C70" s="50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</row>
    <row r="71" ht="12.75" customHeight="1">
      <c r="A71" s="51"/>
      <c r="B71" s="51"/>
      <c r="C71" s="50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</row>
    <row r="72" ht="12.75" customHeight="1">
      <c r="A72" s="51"/>
      <c r="B72" s="51"/>
      <c r="C72" s="50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</row>
    <row r="73" ht="12.75" customHeight="1">
      <c r="A73" s="51"/>
      <c r="B73" s="51"/>
      <c r="C73" s="50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</row>
    <row r="74" ht="12.75" customHeight="1">
      <c r="A74" s="51"/>
      <c r="B74" s="51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</row>
    <row r="75" ht="12.75" customHeight="1">
      <c r="A75" s="51"/>
      <c r="B75" s="51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</row>
    <row r="76" ht="12.75" customHeight="1">
      <c r="A76" s="51"/>
      <c r="B76" s="51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</row>
    <row r="77" ht="12.75" customHeight="1">
      <c r="A77" s="51"/>
      <c r="B77" s="51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</row>
    <row r="78" ht="12.75" customHeight="1">
      <c r="A78" s="51"/>
      <c r="B78" s="51"/>
      <c r="C78" s="50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</row>
    <row r="79" ht="12.75" customHeight="1">
      <c r="A79" s="51"/>
      <c r="B79" s="51"/>
      <c r="C79" s="50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</row>
    <row r="80" ht="12.75" customHeight="1">
      <c r="A80" s="51"/>
      <c r="B80" s="51"/>
      <c r="C80" s="50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</row>
    <row r="81" ht="12.75" customHeight="1">
      <c r="A81" s="51"/>
      <c r="B81" s="51"/>
      <c r="C81" s="50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</row>
    <row r="82" ht="12.75" customHeight="1">
      <c r="A82" s="51"/>
      <c r="B82" s="51"/>
      <c r="C82" s="50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</row>
    <row r="83" ht="12.75" customHeight="1">
      <c r="A83" s="51"/>
      <c r="B83" s="51"/>
      <c r="C83" s="50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</row>
    <row r="84" ht="12.75" customHeight="1">
      <c r="A84" s="51"/>
      <c r="B84" s="51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</row>
    <row r="85" ht="12.75" customHeight="1">
      <c r="A85" s="51"/>
      <c r="B85" s="51"/>
      <c r="C85" s="50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</row>
    <row r="86" ht="12.75" customHeight="1">
      <c r="A86" s="51"/>
      <c r="B86" s="51"/>
      <c r="C86" s="50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</row>
    <row r="87" ht="12.75" customHeight="1">
      <c r="A87" s="51"/>
      <c r="B87" s="51"/>
      <c r="C87" s="50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</row>
    <row r="88" ht="12.75" customHeight="1">
      <c r="A88" s="51"/>
      <c r="B88" s="51"/>
      <c r="C88" s="50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</row>
    <row r="89" ht="12.75" customHeight="1">
      <c r="A89" s="51"/>
      <c r="B89" s="51"/>
      <c r="C89" s="50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</row>
    <row r="90" ht="12.75" customHeight="1">
      <c r="A90" s="51"/>
      <c r="B90" s="51"/>
      <c r="C90" s="50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</row>
    <row r="91" ht="12.75" customHeight="1">
      <c r="A91" s="51"/>
      <c r="B91" s="51"/>
      <c r="C91" s="50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</row>
    <row r="92" ht="12.75" customHeight="1">
      <c r="A92" s="51"/>
      <c r="B92" s="51"/>
      <c r="C92" s="50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</row>
    <row r="93" ht="12.75" customHeight="1">
      <c r="A93" s="51"/>
      <c r="B93" s="51"/>
      <c r="C93" s="50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</row>
    <row r="94" ht="12.75" customHeight="1">
      <c r="A94" s="51"/>
      <c r="B94" s="51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</row>
    <row r="95" ht="12.75" customHeight="1">
      <c r="A95" s="51"/>
      <c r="B95" s="51"/>
      <c r="C95" s="50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</row>
    <row r="96" ht="12.75" customHeight="1">
      <c r="A96" s="51"/>
      <c r="B96" s="51"/>
      <c r="C96" s="50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</row>
    <row r="97" ht="12.75" customHeight="1">
      <c r="A97" s="51"/>
      <c r="B97" s="51"/>
      <c r="C97" s="50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</row>
    <row r="98" ht="12.75" customHeight="1">
      <c r="A98" s="51"/>
      <c r="B98" s="51"/>
      <c r="C98" s="50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</row>
    <row r="99" ht="12.75" customHeight="1">
      <c r="A99" s="51"/>
      <c r="B99" s="51"/>
      <c r="C99" s="50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</row>
    <row r="100" ht="12.75" customHeight="1">
      <c r="A100" s="51"/>
      <c r="B100" s="51"/>
      <c r="C100" s="50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</row>
    <row r="101" ht="12.75" customHeight="1">
      <c r="A101" s="51"/>
      <c r="B101" s="51"/>
      <c r="C101" s="50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</row>
    <row r="102" ht="12.75" customHeight="1">
      <c r="A102" s="51"/>
      <c r="B102" s="51"/>
      <c r="C102" s="50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</row>
    <row r="103" ht="12.75" customHeight="1">
      <c r="A103" s="51"/>
      <c r="B103" s="51"/>
      <c r="C103" s="50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</row>
    <row r="104" ht="12.75" customHeight="1">
      <c r="A104" s="51"/>
      <c r="B104" s="51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</row>
    <row r="105" ht="12.75" customHeight="1">
      <c r="A105" s="51"/>
      <c r="B105" s="51"/>
      <c r="C105" s="50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</row>
    <row r="106" ht="12.75" customHeight="1">
      <c r="A106" s="51"/>
      <c r="B106" s="51"/>
      <c r="C106" s="50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</row>
    <row r="107" ht="12.75" customHeight="1">
      <c r="A107" s="51"/>
      <c r="B107" s="51"/>
      <c r="C107" s="50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</row>
    <row r="108" ht="12.75" customHeight="1">
      <c r="A108" s="51"/>
      <c r="B108" s="51"/>
      <c r="C108" s="50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</row>
    <row r="109" ht="12.75" customHeight="1">
      <c r="A109" s="51"/>
      <c r="B109" s="51"/>
      <c r="C109" s="50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</row>
    <row r="110" ht="12.75" customHeight="1">
      <c r="A110" s="51"/>
      <c r="B110" s="51"/>
      <c r="C110" s="50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</row>
    <row r="111" ht="12.75" customHeight="1">
      <c r="A111" s="51"/>
      <c r="B111" s="51"/>
      <c r="C111" s="50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</row>
    <row r="112" ht="12.75" customHeight="1">
      <c r="A112" s="51"/>
      <c r="B112" s="51"/>
      <c r="C112" s="50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</row>
    <row r="113" ht="12.75" customHeight="1">
      <c r="A113" s="51"/>
      <c r="B113" s="51"/>
      <c r="C113" s="50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</row>
    <row r="114" ht="12.75" customHeight="1">
      <c r="A114" s="51"/>
      <c r="B114" s="51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</row>
    <row r="115" ht="12.75" customHeight="1">
      <c r="A115" s="51"/>
      <c r="B115" s="51"/>
      <c r="C115" s="50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</row>
    <row r="116" ht="12.75" customHeight="1">
      <c r="A116" s="51"/>
      <c r="B116" s="51"/>
      <c r="C116" s="50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</row>
    <row r="117" ht="12.75" customHeight="1">
      <c r="A117" s="51"/>
      <c r="B117" s="51"/>
      <c r="C117" s="50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</row>
    <row r="118" ht="12.75" customHeight="1">
      <c r="A118" s="51"/>
      <c r="B118" s="51"/>
      <c r="C118" s="50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</row>
    <row r="119" ht="12.75" customHeight="1">
      <c r="A119" s="51"/>
      <c r="B119" s="51"/>
      <c r="C119" s="50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</row>
    <row r="120" ht="12.75" customHeight="1">
      <c r="A120" s="51"/>
      <c r="B120" s="51"/>
      <c r="C120" s="50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</row>
    <row r="121" ht="12.75" customHeight="1">
      <c r="A121" s="51"/>
      <c r="B121" s="51"/>
      <c r="C121" s="50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</row>
    <row r="122" ht="12.75" customHeight="1">
      <c r="A122" s="51"/>
      <c r="B122" s="51"/>
      <c r="C122" s="50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</row>
    <row r="123" ht="12.75" customHeight="1">
      <c r="A123" s="51"/>
      <c r="B123" s="51"/>
      <c r="C123" s="50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</row>
    <row r="124" ht="12.75" customHeight="1">
      <c r="A124" s="51"/>
      <c r="B124" s="51"/>
      <c r="C124" s="50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</row>
    <row r="125" ht="12.75" customHeight="1">
      <c r="A125" s="51"/>
      <c r="B125" s="51"/>
      <c r="C125" s="50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</row>
    <row r="126" ht="12.75" customHeight="1">
      <c r="A126" s="51"/>
      <c r="B126" s="51"/>
      <c r="C126" s="50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</row>
    <row r="127" ht="12.75" customHeight="1">
      <c r="A127" s="51"/>
      <c r="B127" s="51"/>
      <c r="C127" s="50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</row>
    <row r="128" ht="12.75" customHeight="1">
      <c r="A128" s="51"/>
      <c r="B128" s="51"/>
      <c r="C128" s="50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</row>
    <row r="129" ht="12.75" customHeight="1">
      <c r="A129" s="51"/>
      <c r="B129" s="51"/>
      <c r="C129" s="50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</row>
    <row r="130" ht="12.75" customHeight="1">
      <c r="A130" s="51"/>
      <c r="B130" s="51"/>
      <c r="C130" s="50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</row>
    <row r="131" ht="12.75" customHeight="1">
      <c r="A131" s="51"/>
      <c r="B131" s="51"/>
      <c r="C131" s="50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</row>
    <row r="132" ht="12.75" customHeight="1">
      <c r="A132" s="51"/>
      <c r="B132" s="51"/>
      <c r="C132" s="50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</row>
    <row r="133" ht="12.75" customHeight="1">
      <c r="A133" s="51"/>
      <c r="B133" s="51"/>
      <c r="C133" s="50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</row>
    <row r="134" ht="12.75" customHeight="1">
      <c r="A134" s="51"/>
      <c r="B134" s="51"/>
      <c r="C134" s="50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</row>
    <row r="135" ht="12.75" customHeight="1">
      <c r="A135" s="51"/>
      <c r="B135" s="51"/>
      <c r="C135" s="50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</row>
    <row r="136" ht="12.75" customHeight="1">
      <c r="A136" s="51"/>
      <c r="B136" s="51"/>
      <c r="C136" s="50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</row>
    <row r="137" ht="12.75" customHeight="1">
      <c r="A137" s="51"/>
      <c r="B137" s="51"/>
      <c r="C137" s="50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</row>
    <row r="138" ht="12.75" customHeight="1">
      <c r="A138" s="51"/>
      <c r="B138" s="51"/>
      <c r="C138" s="50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</row>
    <row r="139" ht="12.75" customHeight="1">
      <c r="A139" s="51"/>
      <c r="B139" s="51"/>
      <c r="C139" s="50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</row>
    <row r="140" ht="12.75" customHeight="1">
      <c r="A140" s="51"/>
      <c r="B140" s="51"/>
      <c r="C140" s="50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</row>
    <row r="141" ht="12.75" customHeight="1">
      <c r="A141" s="51"/>
      <c r="B141" s="51"/>
      <c r="C141" s="50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</row>
    <row r="142" ht="12.75" customHeight="1">
      <c r="A142" s="51"/>
      <c r="B142" s="51"/>
      <c r="C142" s="50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</row>
    <row r="143" ht="12.75" customHeight="1">
      <c r="A143" s="51"/>
      <c r="B143" s="51"/>
      <c r="C143" s="50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</row>
    <row r="144" ht="12.75" customHeight="1">
      <c r="A144" s="51"/>
      <c r="B144" s="51"/>
      <c r="C144" s="50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</row>
    <row r="145" ht="12.75" customHeight="1">
      <c r="A145" s="51"/>
      <c r="B145" s="51"/>
      <c r="C145" s="50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</row>
    <row r="146" ht="12.75" customHeight="1">
      <c r="A146" s="51"/>
      <c r="B146" s="51"/>
      <c r="C146" s="50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</row>
    <row r="147" ht="12.75" customHeight="1">
      <c r="A147" s="51"/>
      <c r="B147" s="51"/>
      <c r="C147" s="50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</row>
    <row r="148" ht="12.75" customHeight="1">
      <c r="A148" s="51"/>
      <c r="B148" s="51"/>
      <c r="C148" s="50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</row>
    <row r="149" ht="12.75" customHeight="1">
      <c r="A149" s="51"/>
      <c r="B149" s="51"/>
      <c r="C149" s="50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</row>
    <row r="150" ht="12.75" customHeight="1">
      <c r="A150" s="51"/>
      <c r="B150" s="51"/>
      <c r="C150" s="50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</row>
    <row r="151" ht="12.75" customHeight="1">
      <c r="A151" s="51"/>
      <c r="B151" s="51"/>
      <c r="C151" s="50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</row>
    <row r="152" ht="12.75" customHeight="1">
      <c r="A152" s="51"/>
      <c r="B152" s="51"/>
      <c r="C152" s="50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</row>
    <row r="153" ht="12.75" customHeight="1">
      <c r="A153" s="51"/>
      <c r="B153" s="51"/>
      <c r="C153" s="50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</row>
    <row r="154" ht="12.75" customHeight="1">
      <c r="A154" s="51"/>
      <c r="B154" s="51"/>
      <c r="C154" s="50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</row>
    <row r="155" ht="12.75" customHeight="1">
      <c r="A155" s="51"/>
      <c r="B155" s="51"/>
      <c r="C155" s="50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</row>
    <row r="156" ht="12.75" customHeight="1">
      <c r="A156" s="51"/>
      <c r="B156" s="51"/>
      <c r="C156" s="50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</row>
    <row r="157" ht="12.75" customHeight="1">
      <c r="A157" s="51"/>
      <c r="B157" s="51"/>
      <c r="C157" s="50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</row>
    <row r="158" ht="12.75" customHeight="1">
      <c r="A158" s="51"/>
      <c r="B158" s="51"/>
      <c r="C158" s="50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</row>
    <row r="159" ht="12.75" customHeight="1">
      <c r="A159" s="51"/>
      <c r="B159" s="51"/>
      <c r="C159" s="50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</row>
    <row r="160" ht="12.75" customHeight="1">
      <c r="A160" s="51"/>
      <c r="B160" s="51"/>
      <c r="C160" s="50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</row>
    <row r="161" ht="12.75" customHeight="1">
      <c r="A161" s="51"/>
      <c r="B161" s="51"/>
      <c r="C161" s="50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</row>
    <row r="162" ht="12.75" customHeight="1">
      <c r="A162" s="51"/>
      <c r="B162" s="51"/>
      <c r="C162" s="50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</row>
    <row r="163" ht="12.75" customHeight="1">
      <c r="A163" s="51"/>
      <c r="B163" s="51"/>
      <c r="C163" s="50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</row>
    <row r="164" ht="12.75" customHeight="1">
      <c r="A164" s="51"/>
      <c r="B164" s="51"/>
      <c r="C164" s="50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</row>
    <row r="165" ht="12.75" customHeight="1">
      <c r="A165" s="51"/>
      <c r="B165" s="51"/>
      <c r="C165" s="50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</row>
    <row r="166" ht="12.75" customHeight="1">
      <c r="A166" s="51"/>
      <c r="B166" s="51"/>
      <c r="C166" s="50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</row>
    <row r="167" ht="12.75" customHeight="1">
      <c r="A167" s="51"/>
      <c r="B167" s="51"/>
      <c r="C167" s="50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</row>
    <row r="168" ht="12.75" customHeight="1">
      <c r="A168" s="51"/>
      <c r="B168" s="51"/>
      <c r="C168" s="50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</row>
    <row r="169" ht="12.75" customHeight="1">
      <c r="A169" s="51"/>
      <c r="B169" s="51"/>
      <c r="C169" s="50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</row>
    <row r="170" ht="12.75" customHeight="1">
      <c r="A170" s="51"/>
      <c r="B170" s="51"/>
      <c r="C170" s="50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</row>
    <row r="171" ht="12.75" customHeight="1">
      <c r="A171" s="51"/>
      <c r="B171" s="51"/>
      <c r="C171" s="50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</row>
    <row r="172" ht="12.75" customHeight="1">
      <c r="A172" s="51"/>
      <c r="B172" s="51"/>
      <c r="C172" s="50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</row>
    <row r="173" ht="12.75" customHeight="1">
      <c r="A173" s="51"/>
      <c r="B173" s="51"/>
      <c r="C173" s="50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</row>
    <row r="174" ht="12.75" customHeight="1">
      <c r="A174" s="51"/>
      <c r="B174" s="51"/>
      <c r="C174" s="50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</row>
    <row r="175" ht="12.75" customHeight="1">
      <c r="A175" s="51"/>
      <c r="B175" s="51"/>
      <c r="C175" s="50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</row>
    <row r="176" ht="12.75" customHeight="1">
      <c r="A176" s="51"/>
      <c r="B176" s="51"/>
      <c r="C176" s="50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</row>
    <row r="177" ht="12.75" customHeight="1">
      <c r="A177" s="51"/>
      <c r="B177" s="51"/>
      <c r="C177" s="50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</row>
    <row r="178" ht="12.75" customHeight="1">
      <c r="A178" s="51"/>
      <c r="B178" s="51"/>
      <c r="C178" s="50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</row>
    <row r="179" ht="12.75" customHeight="1">
      <c r="A179" s="51"/>
      <c r="B179" s="51"/>
      <c r="C179" s="50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</row>
    <row r="180" ht="12.75" customHeight="1">
      <c r="A180" s="51"/>
      <c r="B180" s="51"/>
      <c r="C180" s="50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</row>
    <row r="181" ht="12.75" customHeight="1">
      <c r="A181" s="51"/>
      <c r="B181" s="51"/>
      <c r="C181" s="50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</row>
    <row r="182" ht="12.75" customHeight="1">
      <c r="A182" s="51"/>
      <c r="B182" s="51"/>
      <c r="C182" s="50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</row>
    <row r="183" ht="12.75" customHeight="1">
      <c r="A183" s="51"/>
      <c r="B183" s="51"/>
      <c r="C183" s="50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</row>
    <row r="184" ht="12.75" customHeight="1">
      <c r="A184" s="51"/>
      <c r="B184" s="51"/>
      <c r="C184" s="50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</row>
    <row r="185" ht="12.75" customHeight="1">
      <c r="A185" s="51"/>
      <c r="B185" s="51"/>
      <c r="C185" s="50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</row>
    <row r="186" ht="12.75" customHeight="1">
      <c r="A186" s="51"/>
      <c r="B186" s="51"/>
      <c r="C186" s="50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</row>
    <row r="187" ht="12.75" customHeight="1">
      <c r="A187" s="51"/>
      <c r="B187" s="51"/>
      <c r="C187" s="50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</row>
    <row r="188" ht="12.75" customHeight="1">
      <c r="A188" s="51"/>
      <c r="B188" s="51"/>
      <c r="C188" s="50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</row>
    <row r="189" ht="12.75" customHeight="1">
      <c r="A189" s="51"/>
      <c r="B189" s="51"/>
      <c r="C189" s="50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</row>
    <row r="190" ht="12.75" customHeight="1">
      <c r="A190" s="51"/>
      <c r="B190" s="51"/>
      <c r="C190" s="50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</row>
    <row r="191" ht="12.75" customHeight="1">
      <c r="A191" s="51"/>
      <c r="B191" s="51"/>
      <c r="C191" s="50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</row>
    <row r="192" ht="12.75" customHeight="1">
      <c r="A192" s="51"/>
      <c r="B192" s="51"/>
      <c r="C192" s="50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</row>
    <row r="193" ht="12.75" customHeight="1">
      <c r="A193" s="51"/>
      <c r="B193" s="51"/>
      <c r="C193" s="50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</row>
    <row r="194" ht="12.75" customHeight="1">
      <c r="A194" s="51"/>
      <c r="B194" s="51"/>
      <c r="C194" s="50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</row>
    <row r="195" ht="12.75" customHeight="1">
      <c r="A195" s="51"/>
      <c r="B195" s="51"/>
      <c r="C195" s="50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</row>
    <row r="196" ht="12.75" customHeight="1">
      <c r="A196" s="51"/>
      <c r="B196" s="51"/>
      <c r="C196" s="50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</row>
    <row r="197" ht="12.75" customHeight="1">
      <c r="A197" s="51"/>
      <c r="B197" s="51"/>
      <c r="C197" s="50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</row>
    <row r="198" ht="12.75" customHeight="1">
      <c r="A198" s="51"/>
      <c r="B198" s="51"/>
      <c r="C198" s="50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</row>
    <row r="199" ht="12.75" customHeight="1">
      <c r="A199" s="51"/>
      <c r="B199" s="51"/>
      <c r="C199" s="50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</row>
    <row r="200" ht="12.75" customHeight="1">
      <c r="A200" s="51"/>
      <c r="B200" s="51"/>
      <c r="C200" s="50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</row>
    <row r="201" ht="12.75" customHeight="1">
      <c r="A201" s="51"/>
      <c r="B201" s="51"/>
      <c r="C201" s="50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</row>
    <row r="202" ht="12.75" customHeight="1">
      <c r="A202" s="51"/>
      <c r="B202" s="51"/>
      <c r="C202" s="50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</row>
    <row r="203" ht="12.75" customHeight="1">
      <c r="A203" s="51"/>
      <c r="B203" s="51"/>
      <c r="C203" s="50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</row>
    <row r="204" ht="12.75" customHeight="1">
      <c r="A204" s="51"/>
      <c r="B204" s="51"/>
      <c r="C204" s="50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</row>
    <row r="205" ht="12.75" customHeight="1">
      <c r="A205" s="51"/>
      <c r="B205" s="51"/>
      <c r="C205" s="50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</row>
    <row r="206" ht="12.75" customHeight="1">
      <c r="A206" s="51"/>
      <c r="B206" s="51"/>
      <c r="C206" s="50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</row>
    <row r="207" ht="12.75" customHeight="1">
      <c r="A207" s="51"/>
      <c r="B207" s="51"/>
      <c r="C207" s="50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</row>
    <row r="208" ht="12.75" customHeight="1">
      <c r="A208" s="51"/>
      <c r="B208" s="51"/>
      <c r="C208" s="50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</row>
    <row r="209" ht="12.75" customHeight="1">
      <c r="A209" s="51"/>
      <c r="B209" s="51"/>
      <c r="C209" s="50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</row>
    <row r="210" ht="12.75" customHeight="1">
      <c r="A210" s="51"/>
      <c r="B210" s="51"/>
      <c r="C210" s="50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</row>
    <row r="211" ht="12.75" customHeight="1">
      <c r="A211" s="51"/>
      <c r="B211" s="51"/>
      <c r="C211" s="50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</row>
    <row r="212" ht="12.75" customHeight="1">
      <c r="A212" s="51"/>
      <c r="B212" s="51"/>
      <c r="C212" s="50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</row>
    <row r="213" ht="12.75" customHeight="1">
      <c r="A213" s="51"/>
      <c r="B213" s="51"/>
      <c r="C213" s="50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</row>
    <row r="214" ht="12.75" customHeight="1">
      <c r="A214" s="51"/>
      <c r="B214" s="51"/>
      <c r="C214" s="50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</row>
    <row r="215" ht="12.75" customHeight="1">
      <c r="A215" s="51"/>
      <c r="B215" s="51"/>
      <c r="C215" s="50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</row>
    <row r="216" ht="12.75" customHeight="1">
      <c r="A216" s="51"/>
      <c r="B216" s="51"/>
      <c r="C216" s="50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</row>
    <row r="217" ht="12.75" customHeight="1">
      <c r="A217" s="51"/>
      <c r="B217" s="51"/>
      <c r="C217" s="50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</row>
    <row r="218" ht="12.75" customHeight="1">
      <c r="A218" s="51"/>
      <c r="B218" s="51"/>
      <c r="C218" s="50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</row>
    <row r="219" ht="12.75" customHeight="1">
      <c r="A219" s="51"/>
      <c r="B219" s="51"/>
      <c r="C219" s="50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</row>
    <row r="220" ht="12.75" customHeight="1">
      <c r="A220" s="51"/>
      <c r="B220" s="51"/>
      <c r="C220" s="50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</row>
    <row r="221" ht="12.75" customHeight="1">
      <c r="A221" s="51"/>
      <c r="B221" s="51"/>
      <c r="C221" s="50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</row>
    <row r="222" ht="12.75" customHeight="1">
      <c r="A222" s="51"/>
      <c r="B222" s="51"/>
      <c r="C222" s="50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</row>
    <row r="223" ht="12.75" customHeight="1">
      <c r="A223" s="51"/>
      <c r="B223" s="51"/>
      <c r="C223" s="50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</row>
    <row r="224" ht="12.75" customHeight="1">
      <c r="A224" s="51"/>
      <c r="B224" s="51"/>
      <c r="C224" s="50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</row>
    <row r="225" ht="12.75" customHeight="1">
      <c r="A225" s="51"/>
      <c r="B225" s="51"/>
      <c r="C225" s="50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</row>
    <row r="226" ht="12.75" customHeight="1">
      <c r="A226" s="51"/>
      <c r="B226" s="51"/>
      <c r="C226" s="50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</row>
    <row r="227" ht="12.75" customHeight="1">
      <c r="A227" s="51"/>
      <c r="B227" s="51"/>
      <c r="C227" s="50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</row>
    <row r="228" ht="12.75" customHeight="1">
      <c r="A228" s="51"/>
      <c r="B228" s="51"/>
      <c r="C228" s="50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</row>
    <row r="229" ht="12.75" customHeight="1">
      <c r="A229" s="51"/>
      <c r="B229" s="51"/>
      <c r="C229" s="50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</row>
    <row r="230" ht="12.75" customHeight="1">
      <c r="A230" s="51"/>
      <c r="B230" s="51"/>
      <c r="C230" s="50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</row>
    <row r="231" ht="12.75" customHeight="1">
      <c r="A231" s="51"/>
      <c r="B231" s="51"/>
      <c r="C231" s="50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</row>
    <row r="232" ht="12.75" customHeight="1">
      <c r="A232" s="51"/>
      <c r="B232" s="51"/>
      <c r="C232" s="50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</row>
    <row r="233" ht="12.75" customHeight="1">
      <c r="A233" s="51"/>
      <c r="B233" s="51"/>
      <c r="C233" s="50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</row>
    <row r="234" ht="12.75" customHeight="1">
      <c r="A234" s="51"/>
      <c r="B234" s="51"/>
      <c r="C234" s="50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</row>
    <row r="235" ht="12.75" customHeight="1">
      <c r="A235" s="51"/>
      <c r="B235" s="51"/>
      <c r="C235" s="50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</row>
    <row r="236" ht="12.75" customHeight="1">
      <c r="A236" s="51"/>
      <c r="B236" s="51"/>
      <c r="C236" s="50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</row>
    <row r="237" ht="12.75" customHeight="1">
      <c r="A237" s="51"/>
      <c r="B237" s="51"/>
      <c r="C237" s="50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</row>
    <row r="238" ht="12.75" customHeight="1">
      <c r="A238" s="51"/>
      <c r="B238" s="51"/>
      <c r="C238" s="50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</row>
    <row r="239" ht="12.75" customHeight="1">
      <c r="A239" s="51"/>
      <c r="B239" s="51"/>
      <c r="C239" s="50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</row>
    <row r="240" ht="12.75" customHeight="1">
      <c r="A240" s="51"/>
      <c r="B240" s="51"/>
      <c r="C240" s="50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</row>
    <row r="241" ht="12.75" customHeight="1">
      <c r="A241" s="51"/>
      <c r="B241" s="51"/>
      <c r="C241" s="50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</row>
    <row r="242" ht="12.75" customHeight="1">
      <c r="A242" s="51"/>
      <c r="B242" s="51"/>
      <c r="C242" s="50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</row>
    <row r="243" ht="12.75" customHeight="1">
      <c r="A243" s="51"/>
      <c r="B243" s="51"/>
      <c r="C243" s="50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</row>
    <row r="244" ht="12.75" customHeight="1">
      <c r="A244" s="51"/>
      <c r="B244" s="51"/>
      <c r="C244" s="50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</row>
    <row r="245" ht="12.75" customHeight="1">
      <c r="A245" s="51"/>
      <c r="B245" s="51"/>
      <c r="C245" s="50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</row>
    <row r="246" ht="12.75" customHeight="1">
      <c r="A246" s="51"/>
      <c r="B246" s="51"/>
      <c r="C246" s="50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</row>
    <row r="247" ht="12.75" customHeight="1">
      <c r="A247" s="51"/>
      <c r="B247" s="51"/>
      <c r="C247" s="50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</row>
    <row r="248" ht="12.75" customHeight="1">
      <c r="A248" s="51"/>
      <c r="B248" s="51"/>
      <c r="C248" s="50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</row>
    <row r="249" ht="12.75" customHeight="1">
      <c r="A249" s="51"/>
      <c r="B249" s="51"/>
      <c r="C249" s="50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</row>
    <row r="250" ht="12.75" customHeight="1">
      <c r="A250" s="51"/>
      <c r="B250" s="51"/>
      <c r="C250" s="50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</row>
    <row r="251" ht="12.75" customHeight="1">
      <c r="A251" s="51"/>
      <c r="B251" s="51"/>
      <c r="C251" s="50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</row>
    <row r="252" ht="12.75" customHeight="1">
      <c r="A252" s="51"/>
      <c r="B252" s="51"/>
      <c r="C252" s="50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</row>
    <row r="253" ht="12.75" customHeight="1">
      <c r="A253" s="51"/>
      <c r="B253" s="51"/>
      <c r="C253" s="50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</row>
    <row r="254" ht="12.75" customHeight="1">
      <c r="A254" s="51"/>
      <c r="B254" s="51"/>
      <c r="C254" s="50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</row>
    <row r="255" ht="12.75" customHeight="1">
      <c r="A255" s="51"/>
      <c r="B255" s="51"/>
      <c r="C255" s="50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</row>
    <row r="256" ht="12.75" customHeight="1">
      <c r="A256" s="51"/>
      <c r="B256" s="51"/>
      <c r="C256" s="50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</row>
    <row r="257" ht="12.75" customHeight="1">
      <c r="A257" s="51"/>
      <c r="B257" s="51"/>
      <c r="C257" s="50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</row>
    <row r="258" ht="12.75" customHeight="1">
      <c r="A258" s="51"/>
      <c r="B258" s="51"/>
      <c r="C258" s="50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</row>
    <row r="259" ht="12.75" customHeight="1">
      <c r="A259" s="51"/>
      <c r="B259" s="51"/>
      <c r="C259" s="50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</row>
    <row r="260" ht="12.75" customHeight="1">
      <c r="A260" s="51"/>
      <c r="B260" s="51"/>
      <c r="C260" s="50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</row>
    <row r="261" ht="12.75" customHeight="1">
      <c r="A261" s="51"/>
      <c r="B261" s="51"/>
      <c r="C261" s="50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</row>
    <row r="262" ht="12.75" customHeight="1">
      <c r="A262" s="51"/>
      <c r="B262" s="51"/>
      <c r="C262" s="50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</row>
    <row r="263" ht="12.75" customHeight="1">
      <c r="A263" s="51"/>
      <c r="B263" s="51"/>
      <c r="C263" s="50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</row>
    <row r="264" ht="12.75" customHeight="1">
      <c r="A264" s="51"/>
      <c r="B264" s="51"/>
      <c r="C264" s="50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</row>
    <row r="265" ht="12.75" customHeight="1">
      <c r="A265" s="51"/>
      <c r="B265" s="51"/>
      <c r="C265" s="50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</row>
    <row r="266" ht="12.75" customHeight="1">
      <c r="A266" s="51"/>
      <c r="B266" s="51"/>
      <c r="C266" s="50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</row>
    <row r="267" ht="12.75" customHeight="1">
      <c r="A267" s="51"/>
      <c r="B267" s="51"/>
      <c r="C267" s="50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</row>
    <row r="268" ht="12.75" customHeight="1">
      <c r="A268" s="51"/>
      <c r="B268" s="51"/>
      <c r="C268" s="50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</row>
    <row r="269" ht="12.75" customHeight="1">
      <c r="A269" s="51"/>
      <c r="B269" s="51"/>
      <c r="C269" s="50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</row>
    <row r="270" ht="12.75" customHeight="1">
      <c r="A270" s="51"/>
      <c r="B270" s="51"/>
      <c r="C270" s="50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</row>
    <row r="271" ht="12.75" customHeight="1">
      <c r="A271" s="51"/>
      <c r="B271" s="51"/>
      <c r="C271" s="50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</row>
    <row r="272" ht="12.75" customHeight="1">
      <c r="A272" s="51"/>
      <c r="B272" s="51"/>
      <c r="C272" s="50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</row>
    <row r="273" ht="12.75" customHeight="1">
      <c r="A273" s="51"/>
      <c r="B273" s="51"/>
      <c r="C273" s="50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</row>
    <row r="274" ht="12.75" customHeight="1">
      <c r="A274" s="51"/>
      <c r="B274" s="51"/>
      <c r="C274" s="50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</row>
    <row r="275" ht="12.75" customHeight="1">
      <c r="A275" s="51"/>
      <c r="B275" s="51"/>
      <c r="C275" s="50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</row>
    <row r="276" ht="12.75" customHeight="1">
      <c r="A276" s="51"/>
      <c r="B276" s="51"/>
      <c r="C276" s="50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</row>
    <row r="277" ht="12.75" customHeight="1">
      <c r="A277" s="51"/>
      <c r="B277" s="51"/>
      <c r="C277" s="50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</row>
    <row r="278" ht="12.75" customHeight="1">
      <c r="A278" s="51"/>
      <c r="B278" s="51"/>
      <c r="C278" s="50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</row>
    <row r="279" ht="12.75" customHeight="1">
      <c r="A279" s="51"/>
      <c r="B279" s="51"/>
      <c r="C279" s="50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</row>
    <row r="280" ht="12.75" customHeight="1">
      <c r="A280" s="51"/>
      <c r="B280" s="51"/>
      <c r="C280" s="50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</row>
    <row r="281" ht="12.75" customHeight="1">
      <c r="A281" s="51"/>
      <c r="B281" s="51"/>
      <c r="C281" s="50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</row>
    <row r="282" ht="12.75" customHeight="1">
      <c r="A282" s="51"/>
      <c r="B282" s="51"/>
      <c r="C282" s="50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</row>
    <row r="283" ht="12.75" customHeight="1">
      <c r="A283" s="51"/>
      <c r="B283" s="51"/>
      <c r="C283" s="50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</row>
    <row r="284" ht="12.75" customHeight="1">
      <c r="A284" s="51"/>
      <c r="B284" s="51"/>
      <c r="C284" s="50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</row>
    <row r="285" ht="12.75" customHeight="1">
      <c r="A285" s="51"/>
      <c r="B285" s="51"/>
      <c r="C285" s="50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</row>
    <row r="286" ht="12.75" customHeight="1">
      <c r="A286" s="51"/>
      <c r="B286" s="51"/>
      <c r="C286" s="50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</row>
    <row r="287" ht="12.75" customHeight="1">
      <c r="A287" s="51"/>
      <c r="B287" s="51"/>
      <c r="C287" s="50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</row>
    <row r="288" ht="12.75" customHeight="1">
      <c r="A288" s="51"/>
      <c r="B288" s="51"/>
      <c r="C288" s="50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</row>
    <row r="289" ht="12.75" customHeight="1">
      <c r="A289" s="51"/>
      <c r="B289" s="51"/>
      <c r="C289" s="50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</row>
    <row r="290" ht="12.75" customHeight="1">
      <c r="A290" s="51"/>
      <c r="B290" s="51"/>
      <c r="C290" s="50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</row>
    <row r="291" ht="12.75" customHeight="1">
      <c r="A291" s="51"/>
      <c r="B291" s="51"/>
      <c r="C291" s="50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</row>
    <row r="292" ht="12.75" customHeight="1">
      <c r="A292" s="51"/>
      <c r="B292" s="51"/>
      <c r="C292" s="50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</row>
    <row r="293" ht="12.75" customHeight="1">
      <c r="A293" s="51"/>
      <c r="B293" s="51"/>
      <c r="C293" s="50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</row>
    <row r="294" ht="12.75" customHeight="1">
      <c r="A294" s="51"/>
      <c r="B294" s="51"/>
      <c r="C294" s="50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</row>
    <row r="295" ht="12.75" customHeight="1">
      <c r="A295" s="51"/>
      <c r="B295" s="51"/>
      <c r="C295" s="50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</row>
    <row r="296" ht="12.75" customHeight="1">
      <c r="A296" s="51"/>
      <c r="B296" s="51"/>
      <c r="C296" s="50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</row>
    <row r="297" ht="12.75" customHeight="1">
      <c r="A297" s="51"/>
      <c r="B297" s="51"/>
      <c r="C297" s="50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</row>
    <row r="298" ht="12.75" customHeight="1">
      <c r="A298" s="51"/>
      <c r="B298" s="51"/>
      <c r="C298" s="50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</row>
    <row r="299" ht="12.75" customHeight="1">
      <c r="A299" s="51"/>
      <c r="B299" s="51"/>
      <c r="C299" s="50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</row>
    <row r="300" ht="12.75" customHeight="1">
      <c r="A300" s="51"/>
      <c r="B300" s="51"/>
      <c r="C300" s="50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</row>
    <row r="301" ht="12.75" customHeight="1">
      <c r="A301" s="51"/>
      <c r="B301" s="51"/>
      <c r="C301" s="50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</row>
    <row r="302" ht="12.75" customHeight="1">
      <c r="A302" s="51"/>
      <c r="B302" s="51"/>
      <c r="C302" s="50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</row>
    <row r="303" ht="12.75" customHeight="1">
      <c r="A303" s="51"/>
      <c r="B303" s="51"/>
      <c r="C303" s="50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</row>
    <row r="304" ht="12.75" customHeight="1">
      <c r="A304" s="51"/>
      <c r="B304" s="51"/>
      <c r="C304" s="50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</row>
    <row r="305" ht="12.75" customHeight="1">
      <c r="A305" s="51"/>
      <c r="B305" s="51"/>
      <c r="C305" s="50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</row>
    <row r="306" ht="12.75" customHeight="1">
      <c r="A306" s="51"/>
      <c r="B306" s="51"/>
      <c r="C306" s="50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</row>
    <row r="307" ht="12.75" customHeight="1">
      <c r="A307" s="51"/>
      <c r="B307" s="51"/>
      <c r="C307" s="50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</row>
    <row r="308" ht="12.75" customHeight="1">
      <c r="A308" s="51"/>
      <c r="B308" s="51"/>
      <c r="C308" s="50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</row>
    <row r="309" ht="12.75" customHeight="1">
      <c r="A309" s="51"/>
      <c r="B309" s="51"/>
      <c r="C309" s="50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</row>
    <row r="310" ht="12.75" customHeight="1">
      <c r="A310" s="51"/>
      <c r="B310" s="51"/>
      <c r="C310" s="50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</row>
    <row r="311" ht="12.75" customHeight="1">
      <c r="A311" s="51"/>
      <c r="B311" s="51"/>
      <c r="C311" s="50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</row>
    <row r="312" ht="12.75" customHeight="1">
      <c r="A312" s="51"/>
      <c r="B312" s="51"/>
      <c r="C312" s="50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</row>
    <row r="313" ht="12.75" customHeight="1">
      <c r="A313" s="51"/>
      <c r="B313" s="51"/>
      <c r="C313" s="50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</row>
    <row r="314" ht="12.75" customHeight="1">
      <c r="A314" s="51"/>
      <c r="B314" s="51"/>
      <c r="C314" s="50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</row>
    <row r="315" ht="12.75" customHeight="1">
      <c r="A315" s="51"/>
      <c r="B315" s="51"/>
      <c r="C315" s="50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</row>
    <row r="316" ht="12.75" customHeight="1">
      <c r="A316" s="51"/>
      <c r="B316" s="51"/>
      <c r="C316" s="50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</row>
    <row r="317" ht="12.75" customHeight="1">
      <c r="A317" s="51"/>
      <c r="B317" s="51"/>
      <c r="C317" s="50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</row>
    <row r="318" ht="12.75" customHeight="1">
      <c r="A318" s="51"/>
      <c r="B318" s="51"/>
      <c r="C318" s="50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</row>
    <row r="319" ht="12.75" customHeight="1">
      <c r="A319" s="51"/>
      <c r="B319" s="51"/>
      <c r="C319" s="50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</row>
    <row r="320" ht="12.75" customHeight="1">
      <c r="A320" s="51"/>
      <c r="B320" s="51"/>
      <c r="C320" s="50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</row>
    <row r="321" ht="12.75" customHeight="1">
      <c r="A321" s="51"/>
      <c r="B321" s="51"/>
      <c r="C321" s="50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</row>
    <row r="322" ht="12.75" customHeight="1">
      <c r="A322" s="51"/>
      <c r="B322" s="51"/>
      <c r="C322" s="50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</row>
    <row r="323" ht="12.75" customHeight="1">
      <c r="A323" s="51"/>
      <c r="B323" s="51"/>
      <c r="C323" s="50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</row>
    <row r="324" ht="12.75" customHeight="1">
      <c r="A324" s="51"/>
      <c r="B324" s="51"/>
      <c r="C324" s="50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</row>
    <row r="325" ht="12.75" customHeight="1">
      <c r="A325" s="51"/>
      <c r="B325" s="51"/>
      <c r="C325" s="50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</row>
    <row r="326" ht="12.75" customHeight="1">
      <c r="A326" s="51"/>
      <c r="B326" s="51"/>
      <c r="C326" s="50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</row>
    <row r="327" ht="12.75" customHeight="1">
      <c r="A327" s="51"/>
      <c r="B327" s="51"/>
      <c r="C327" s="50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</row>
    <row r="328" ht="12.75" customHeight="1">
      <c r="A328" s="51"/>
      <c r="B328" s="51"/>
      <c r="C328" s="50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</row>
    <row r="329" ht="12.75" customHeight="1">
      <c r="A329" s="51"/>
      <c r="B329" s="51"/>
      <c r="C329" s="50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</row>
    <row r="330" ht="12.75" customHeight="1">
      <c r="A330" s="51"/>
      <c r="B330" s="51"/>
      <c r="C330" s="50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</row>
    <row r="331" ht="12.75" customHeight="1">
      <c r="A331" s="51"/>
      <c r="B331" s="51"/>
      <c r="C331" s="50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</row>
    <row r="332" ht="12.75" customHeight="1">
      <c r="A332" s="51"/>
      <c r="B332" s="51"/>
      <c r="C332" s="50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</row>
    <row r="333" ht="12.75" customHeight="1">
      <c r="A333" s="51"/>
      <c r="B333" s="51"/>
      <c r="C333" s="50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</row>
    <row r="334" ht="12.75" customHeight="1">
      <c r="A334" s="51"/>
      <c r="B334" s="51"/>
      <c r="C334" s="50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</row>
    <row r="335" ht="12.75" customHeight="1">
      <c r="A335" s="51"/>
      <c r="B335" s="51"/>
      <c r="C335" s="50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</row>
    <row r="336" ht="12.75" customHeight="1">
      <c r="A336" s="51"/>
      <c r="B336" s="51"/>
      <c r="C336" s="50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</row>
    <row r="337" ht="12.75" customHeight="1">
      <c r="A337" s="51"/>
      <c r="B337" s="51"/>
      <c r="C337" s="50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</row>
    <row r="338" ht="12.75" customHeight="1">
      <c r="A338" s="51"/>
      <c r="B338" s="51"/>
      <c r="C338" s="50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</row>
    <row r="339" ht="12.75" customHeight="1">
      <c r="A339" s="51"/>
      <c r="B339" s="51"/>
      <c r="C339" s="50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</row>
    <row r="340" ht="12.75" customHeight="1">
      <c r="A340" s="51"/>
      <c r="B340" s="51"/>
      <c r="C340" s="50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</row>
    <row r="341" ht="12.75" customHeight="1">
      <c r="A341" s="51"/>
      <c r="B341" s="51"/>
      <c r="C341" s="50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</row>
    <row r="342" ht="12.75" customHeight="1">
      <c r="A342" s="51"/>
      <c r="B342" s="51"/>
      <c r="C342" s="50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</row>
    <row r="343" ht="12.75" customHeight="1">
      <c r="A343" s="51"/>
      <c r="B343" s="51"/>
      <c r="C343" s="50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</row>
    <row r="344" ht="12.75" customHeight="1">
      <c r="A344" s="51"/>
      <c r="B344" s="51"/>
      <c r="C344" s="50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</row>
    <row r="345" ht="12.75" customHeight="1">
      <c r="A345" s="51"/>
      <c r="B345" s="51"/>
      <c r="C345" s="50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</row>
    <row r="346" ht="12.75" customHeight="1">
      <c r="A346" s="51"/>
      <c r="B346" s="51"/>
      <c r="C346" s="50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</row>
    <row r="347" ht="12.75" customHeight="1">
      <c r="A347" s="51"/>
      <c r="B347" s="51"/>
      <c r="C347" s="50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</row>
    <row r="348" ht="12.75" customHeight="1">
      <c r="A348" s="51"/>
      <c r="B348" s="51"/>
      <c r="C348" s="50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</row>
    <row r="349" ht="12.75" customHeight="1">
      <c r="A349" s="51"/>
      <c r="B349" s="51"/>
      <c r="C349" s="50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</row>
    <row r="350" ht="12.75" customHeight="1">
      <c r="A350" s="51"/>
      <c r="B350" s="51"/>
      <c r="C350" s="50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</row>
    <row r="351" ht="12.75" customHeight="1">
      <c r="A351" s="51"/>
      <c r="B351" s="51"/>
      <c r="C351" s="50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</row>
    <row r="352" ht="12.75" customHeight="1">
      <c r="A352" s="51"/>
      <c r="B352" s="51"/>
      <c r="C352" s="50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</row>
    <row r="353" ht="12.75" customHeight="1">
      <c r="A353" s="51"/>
      <c r="B353" s="51"/>
      <c r="C353" s="50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</row>
    <row r="354" ht="12.75" customHeight="1">
      <c r="A354" s="51"/>
      <c r="B354" s="51"/>
      <c r="C354" s="50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</row>
    <row r="355" ht="12.75" customHeight="1">
      <c r="A355" s="51"/>
      <c r="B355" s="51"/>
      <c r="C355" s="50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</row>
    <row r="356" ht="12.75" customHeight="1">
      <c r="A356" s="51"/>
      <c r="B356" s="51"/>
      <c r="C356" s="50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</row>
    <row r="357" ht="12.75" customHeight="1">
      <c r="A357" s="51"/>
      <c r="B357" s="51"/>
      <c r="C357" s="50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</row>
    <row r="358" ht="12.75" customHeight="1">
      <c r="A358" s="51"/>
      <c r="B358" s="51"/>
      <c r="C358" s="50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</row>
    <row r="359" ht="12.75" customHeight="1">
      <c r="A359" s="51"/>
      <c r="B359" s="51"/>
      <c r="C359" s="50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</row>
    <row r="360" ht="12.75" customHeight="1">
      <c r="A360" s="51"/>
      <c r="B360" s="51"/>
      <c r="C360" s="50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</row>
    <row r="361" ht="12.75" customHeight="1">
      <c r="A361" s="51"/>
      <c r="B361" s="51"/>
      <c r="C361" s="50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</row>
    <row r="362" ht="12.75" customHeight="1">
      <c r="A362" s="51"/>
      <c r="B362" s="51"/>
      <c r="C362" s="50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</row>
    <row r="363" ht="12.75" customHeight="1">
      <c r="A363" s="51"/>
      <c r="B363" s="51"/>
      <c r="C363" s="50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</row>
    <row r="364" ht="12.75" customHeight="1">
      <c r="A364" s="51"/>
      <c r="B364" s="51"/>
      <c r="C364" s="50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</row>
    <row r="365" ht="12.75" customHeight="1">
      <c r="A365" s="51"/>
      <c r="B365" s="51"/>
      <c r="C365" s="50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</row>
    <row r="366" ht="12.75" customHeight="1">
      <c r="A366" s="51"/>
      <c r="B366" s="51"/>
      <c r="C366" s="50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</row>
    <row r="367" ht="12.75" customHeight="1">
      <c r="A367" s="51"/>
      <c r="B367" s="51"/>
      <c r="C367" s="50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</row>
    <row r="368" ht="12.75" customHeight="1">
      <c r="A368" s="51"/>
      <c r="B368" s="51"/>
      <c r="C368" s="50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</row>
    <row r="369" ht="12.75" customHeight="1">
      <c r="A369" s="51"/>
      <c r="B369" s="51"/>
      <c r="C369" s="50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</row>
    <row r="370" ht="12.75" customHeight="1">
      <c r="A370" s="51"/>
      <c r="B370" s="51"/>
      <c r="C370" s="50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</row>
    <row r="371" ht="12.75" customHeight="1">
      <c r="A371" s="51"/>
      <c r="B371" s="51"/>
      <c r="C371" s="50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</row>
    <row r="372" ht="12.75" customHeight="1">
      <c r="A372" s="51"/>
      <c r="B372" s="51"/>
      <c r="C372" s="50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</row>
    <row r="373" ht="12.75" customHeight="1">
      <c r="A373" s="51"/>
      <c r="B373" s="51"/>
      <c r="C373" s="50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</row>
    <row r="374" ht="12.75" customHeight="1">
      <c r="A374" s="51"/>
      <c r="B374" s="51"/>
      <c r="C374" s="50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</row>
    <row r="375" ht="12.75" customHeight="1">
      <c r="A375" s="51"/>
      <c r="B375" s="51"/>
      <c r="C375" s="50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</row>
    <row r="376" ht="12.75" customHeight="1">
      <c r="A376" s="51"/>
      <c r="B376" s="51"/>
      <c r="C376" s="50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</row>
    <row r="377" ht="12.75" customHeight="1">
      <c r="A377" s="51"/>
      <c r="B377" s="51"/>
      <c r="C377" s="50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</row>
    <row r="378" ht="12.75" customHeight="1">
      <c r="A378" s="51"/>
      <c r="B378" s="51"/>
      <c r="C378" s="50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</row>
    <row r="379" ht="12.75" customHeight="1">
      <c r="A379" s="51"/>
      <c r="B379" s="51"/>
      <c r="C379" s="50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</row>
    <row r="380" ht="12.75" customHeight="1">
      <c r="A380" s="51"/>
      <c r="B380" s="51"/>
      <c r="C380" s="50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</row>
    <row r="381" ht="12.75" customHeight="1">
      <c r="A381" s="51"/>
      <c r="B381" s="51"/>
      <c r="C381" s="50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</row>
    <row r="382" ht="12.75" customHeight="1">
      <c r="A382" s="51"/>
      <c r="B382" s="51"/>
      <c r="C382" s="50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</row>
    <row r="383" ht="12.75" customHeight="1">
      <c r="A383" s="51"/>
      <c r="B383" s="51"/>
      <c r="C383" s="50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</row>
    <row r="384" ht="12.75" customHeight="1">
      <c r="A384" s="51"/>
      <c r="B384" s="51"/>
      <c r="C384" s="50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</row>
    <row r="385" ht="12.75" customHeight="1">
      <c r="A385" s="51"/>
      <c r="B385" s="51"/>
      <c r="C385" s="50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</row>
    <row r="386" ht="12.75" customHeight="1">
      <c r="A386" s="51"/>
      <c r="B386" s="51"/>
      <c r="C386" s="50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</row>
    <row r="387" ht="12.75" customHeight="1">
      <c r="A387" s="51"/>
      <c r="B387" s="51"/>
      <c r="C387" s="50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</row>
    <row r="388" ht="12.75" customHeight="1">
      <c r="A388" s="51"/>
      <c r="B388" s="51"/>
      <c r="C388" s="50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</row>
    <row r="389" ht="12.75" customHeight="1">
      <c r="A389" s="51"/>
      <c r="B389" s="51"/>
      <c r="C389" s="50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</row>
    <row r="390" ht="12.75" customHeight="1">
      <c r="A390" s="51"/>
      <c r="B390" s="51"/>
      <c r="C390" s="50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</row>
    <row r="391" ht="12.75" customHeight="1">
      <c r="A391" s="51"/>
      <c r="B391" s="51"/>
      <c r="C391" s="50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</row>
    <row r="392" ht="12.75" customHeight="1">
      <c r="A392" s="51"/>
      <c r="B392" s="51"/>
      <c r="C392" s="50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</row>
    <row r="393" ht="12.75" customHeight="1">
      <c r="A393" s="51"/>
      <c r="B393" s="51"/>
      <c r="C393" s="50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</row>
    <row r="394" ht="12.75" customHeight="1">
      <c r="A394" s="51"/>
      <c r="B394" s="51"/>
      <c r="C394" s="50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</row>
    <row r="395" ht="12.75" customHeight="1">
      <c r="A395" s="51"/>
      <c r="B395" s="51"/>
      <c r="C395" s="50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</row>
    <row r="396" ht="12.75" customHeight="1">
      <c r="A396" s="51"/>
      <c r="B396" s="51"/>
      <c r="C396" s="50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</row>
    <row r="397" ht="12.75" customHeight="1">
      <c r="A397" s="51"/>
      <c r="B397" s="51"/>
      <c r="C397" s="50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</row>
    <row r="398" ht="12.75" customHeight="1">
      <c r="A398" s="51"/>
      <c r="B398" s="51"/>
      <c r="C398" s="50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</row>
    <row r="399" ht="12.75" customHeight="1">
      <c r="A399" s="51"/>
      <c r="B399" s="51"/>
      <c r="C399" s="50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</row>
    <row r="400" ht="12.75" customHeight="1">
      <c r="A400" s="51"/>
      <c r="B400" s="51"/>
      <c r="C400" s="50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</row>
    <row r="401" ht="12.75" customHeight="1">
      <c r="A401" s="51"/>
      <c r="B401" s="51"/>
      <c r="C401" s="50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</row>
    <row r="402" ht="12.75" customHeight="1">
      <c r="A402" s="51"/>
      <c r="B402" s="51"/>
      <c r="C402" s="50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</row>
    <row r="403" ht="12.75" customHeight="1">
      <c r="A403" s="51"/>
      <c r="B403" s="51"/>
      <c r="C403" s="50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</row>
    <row r="404" ht="12.75" customHeight="1">
      <c r="A404" s="51"/>
      <c r="B404" s="51"/>
      <c r="C404" s="50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</row>
    <row r="405" ht="12.75" customHeight="1">
      <c r="A405" s="51"/>
      <c r="B405" s="51"/>
      <c r="C405" s="50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</row>
    <row r="406" ht="12.75" customHeight="1">
      <c r="A406" s="51"/>
      <c r="B406" s="51"/>
      <c r="C406" s="50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</row>
    <row r="407" ht="12.75" customHeight="1">
      <c r="A407" s="51"/>
      <c r="B407" s="51"/>
      <c r="C407" s="50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</row>
    <row r="408" ht="12.75" customHeight="1">
      <c r="A408" s="51"/>
      <c r="B408" s="51"/>
      <c r="C408" s="50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</row>
    <row r="409" ht="12.75" customHeight="1">
      <c r="A409" s="51"/>
      <c r="B409" s="51"/>
      <c r="C409" s="50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</row>
    <row r="410" ht="12.75" customHeight="1">
      <c r="A410" s="51"/>
      <c r="B410" s="51"/>
      <c r="C410" s="50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</row>
    <row r="411" ht="12.75" customHeight="1">
      <c r="A411" s="51"/>
      <c r="B411" s="51"/>
      <c r="C411" s="50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</row>
    <row r="412" ht="12.75" customHeight="1">
      <c r="A412" s="51"/>
      <c r="B412" s="51"/>
      <c r="C412" s="50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</row>
    <row r="413" ht="12.75" customHeight="1">
      <c r="A413" s="51"/>
      <c r="B413" s="51"/>
      <c r="C413" s="50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</row>
    <row r="414" ht="12.75" customHeight="1">
      <c r="A414" s="51"/>
      <c r="B414" s="51"/>
      <c r="C414" s="50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</row>
    <row r="415" ht="12.75" customHeight="1">
      <c r="A415" s="51"/>
      <c r="B415" s="51"/>
      <c r="C415" s="50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</row>
    <row r="416" ht="12.75" customHeight="1">
      <c r="A416" s="51"/>
      <c r="B416" s="51"/>
      <c r="C416" s="50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</row>
    <row r="417" ht="12.75" customHeight="1">
      <c r="A417" s="51"/>
      <c r="B417" s="51"/>
      <c r="C417" s="50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</row>
    <row r="418" ht="12.75" customHeight="1">
      <c r="A418" s="51"/>
      <c r="B418" s="51"/>
      <c r="C418" s="50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</row>
    <row r="419" ht="12.75" customHeight="1">
      <c r="A419" s="51"/>
      <c r="B419" s="51"/>
      <c r="C419" s="50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</row>
    <row r="420" ht="12.75" customHeight="1">
      <c r="A420" s="51"/>
      <c r="B420" s="51"/>
      <c r="C420" s="50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</row>
    <row r="421" ht="12.75" customHeight="1">
      <c r="A421" s="51"/>
      <c r="B421" s="51"/>
      <c r="C421" s="50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</row>
    <row r="422" ht="12.75" customHeight="1">
      <c r="A422" s="51"/>
      <c r="B422" s="51"/>
      <c r="C422" s="50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</row>
    <row r="423" ht="12.75" customHeight="1">
      <c r="A423" s="51"/>
      <c r="B423" s="51"/>
      <c r="C423" s="50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</row>
    <row r="424" ht="12.75" customHeight="1">
      <c r="A424" s="51"/>
      <c r="B424" s="51"/>
      <c r="C424" s="50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</row>
    <row r="425" ht="12.75" customHeight="1">
      <c r="A425" s="51"/>
      <c r="B425" s="51"/>
      <c r="C425" s="50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</row>
    <row r="426" ht="12.75" customHeight="1">
      <c r="A426" s="51"/>
      <c r="B426" s="51"/>
      <c r="C426" s="50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</row>
    <row r="427" ht="12.75" customHeight="1">
      <c r="A427" s="51"/>
      <c r="B427" s="51"/>
      <c r="C427" s="50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</row>
    <row r="428" ht="12.75" customHeight="1">
      <c r="A428" s="51"/>
      <c r="B428" s="51"/>
      <c r="C428" s="50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</row>
    <row r="429" ht="12.75" customHeight="1">
      <c r="A429" s="51"/>
      <c r="B429" s="51"/>
      <c r="C429" s="50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</row>
    <row r="430" ht="12.75" customHeight="1">
      <c r="A430" s="51"/>
      <c r="B430" s="51"/>
      <c r="C430" s="50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</row>
    <row r="431" ht="12.75" customHeight="1">
      <c r="A431" s="51"/>
      <c r="B431" s="51"/>
      <c r="C431" s="50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</row>
    <row r="432" ht="12.75" customHeight="1">
      <c r="A432" s="51"/>
      <c r="B432" s="51"/>
      <c r="C432" s="50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</row>
    <row r="433" ht="12.75" customHeight="1">
      <c r="A433" s="51"/>
      <c r="B433" s="51"/>
      <c r="C433" s="50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</row>
    <row r="434" ht="12.75" customHeight="1">
      <c r="A434" s="51"/>
      <c r="B434" s="51"/>
      <c r="C434" s="50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</row>
    <row r="435" ht="12.75" customHeight="1">
      <c r="A435" s="51"/>
      <c r="B435" s="51"/>
      <c r="C435" s="50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</row>
    <row r="436" ht="12.75" customHeight="1">
      <c r="A436" s="51"/>
      <c r="B436" s="51"/>
      <c r="C436" s="50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</row>
    <row r="437" ht="12.75" customHeight="1">
      <c r="A437" s="51"/>
      <c r="B437" s="51"/>
      <c r="C437" s="50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</row>
    <row r="438" ht="12.75" customHeight="1">
      <c r="A438" s="51"/>
      <c r="B438" s="51"/>
      <c r="C438" s="50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</row>
    <row r="439" ht="12.75" customHeight="1">
      <c r="A439" s="51"/>
      <c r="B439" s="51"/>
      <c r="C439" s="50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</row>
    <row r="440" ht="12.75" customHeight="1">
      <c r="A440" s="51"/>
      <c r="B440" s="51"/>
      <c r="C440" s="50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</row>
    <row r="441" ht="12.75" customHeight="1">
      <c r="A441" s="51"/>
      <c r="B441" s="51"/>
      <c r="C441" s="50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</row>
    <row r="442" ht="12.75" customHeight="1">
      <c r="A442" s="51"/>
      <c r="B442" s="51"/>
      <c r="C442" s="50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</row>
    <row r="443" ht="12.75" customHeight="1">
      <c r="A443" s="51"/>
      <c r="B443" s="51"/>
      <c r="C443" s="50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</row>
    <row r="444" ht="12.75" customHeight="1">
      <c r="A444" s="51"/>
      <c r="B444" s="51"/>
      <c r="C444" s="50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</row>
    <row r="445" ht="12.75" customHeight="1">
      <c r="A445" s="51"/>
      <c r="B445" s="51"/>
      <c r="C445" s="50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</row>
    <row r="446" ht="12.75" customHeight="1">
      <c r="A446" s="51"/>
      <c r="B446" s="51"/>
      <c r="C446" s="50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</row>
    <row r="447" ht="12.75" customHeight="1">
      <c r="A447" s="51"/>
      <c r="B447" s="51"/>
      <c r="C447" s="50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</row>
    <row r="448" ht="12.75" customHeight="1">
      <c r="A448" s="51"/>
      <c r="B448" s="51"/>
      <c r="C448" s="50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</row>
    <row r="449" ht="12.75" customHeight="1">
      <c r="A449" s="51"/>
      <c r="B449" s="51"/>
      <c r="C449" s="50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</row>
    <row r="450" ht="12.75" customHeight="1">
      <c r="A450" s="51"/>
      <c r="B450" s="51"/>
      <c r="C450" s="50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</row>
    <row r="451" ht="12.75" customHeight="1">
      <c r="A451" s="51"/>
      <c r="B451" s="51"/>
      <c r="C451" s="50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</row>
    <row r="452" ht="12.75" customHeight="1">
      <c r="A452" s="51"/>
      <c r="B452" s="51"/>
      <c r="C452" s="50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</row>
    <row r="453" ht="12.75" customHeight="1">
      <c r="A453" s="51"/>
      <c r="B453" s="51"/>
      <c r="C453" s="50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</row>
    <row r="454" ht="12.75" customHeight="1">
      <c r="A454" s="51"/>
      <c r="B454" s="51"/>
      <c r="C454" s="50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</row>
    <row r="455" ht="12.75" customHeight="1">
      <c r="A455" s="51"/>
      <c r="B455" s="51"/>
      <c r="C455" s="50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</row>
    <row r="456" ht="12.75" customHeight="1">
      <c r="A456" s="51"/>
      <c r="B456" s="51"/>
      <c r="C456" s="50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</row>
    <row r="457" ht="12.75" customHeight="1">
      <c r="A457" s="51"/>
      <c r="B457" s="51"/>
      <c r="C457" s="50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</row>
    <row r="458" ht="12.75" customHeight="1">
      <c r="A458" s="51"/>
      <c r="B458" s="51"/>
      <c r="C458" s="50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</row>
    <row r="459" ht="12.75" customHeight="1">
      <c r="A459" s="51"/>
      <c r="B459" s="51"/>
      <c r="C459" s="50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</row>
    <row r="460" ht="12.75" customHeight="1">
      <c r="A460" s="51"/>
      <c r="B460" s="51"/>
      <c r="C460" s="50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</row>
    <row r="461" ht="12.75" customHeight="1">
      <c r="A461" s="51"/>
      <c r="B461" s="51"/>
      <c r="C461" s="50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</row>
    <row r="462" ht="12.75" customHeight="1">
      <c r="A462" s="51"/>
      <c r="B462" s="51"/>
      <c r="C462" s="50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</row>
    <row r="463" ht="12.75" customHeight="1">
      <c r="A463" s="51"/>
      <c r="B463" s="51"/>
      <c r="C463" s="50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</row>
    <row r="464" ht="12.75" customHeight="1">
      <c r="A464" s="51"/>
      <c r="B464" s="51"/>
      <c r="C464" s="50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</row>
    <row r="465" ht="12.75" customHeight="1">
      <c r="A465" s="51"/>
      <c r="B465" s="51"/>
      <c r="C465" s="50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</row>
    <row r="466" ht="12.75" customHeight="1">
      <c r="A466" s="51"/>
      <c r="B466" s="51"/>
      <c r="C466" s="50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</row>
    <row r="467" ht="12.75" customHeight="1">
      <c r="A467" s="51"/>
      <c r="B467" s="51"/>
      <c r="C467" s="50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</row>
    <row r="468" ht="12.75" customHeight="1">
      <c r="A468" s="51"/>
      <c r="B468" s="51"/>
      <c r="C468" s="50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</row>
    <row r="469" ht="12.75" customHeight="1">
      <c r="A469" s="51"/>
      <c r="B469" s="51"/>
      <c r="C469" s="50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</row>
    <row r="470" ht="12.75" customHeight="1">
      <c r="A470" s="51"/>
      <c r="B470" s="51"/>
      <c r="C470" s="50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</row>
    <row r="471" ht="12.75" customHeight="1">
      <c r="A471" s="51"/>
      <c r="B471" s="51"/>
      <c r="C471" s="50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</row>
    <row r="472" ht="12.75" customHeight="1">
      <c r="A472" s="51"/>
      <c r="B472" s="51"/>
      <c r="C472" s="50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</row>
    <row r="473" ht="12.75" customHeight="1">
      <c r="A473" s="51"/>
      <c r="B473" s="51"/>
      <c r="C473" s="50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</row>
    <row r="474" ht="12.75" customHeight="1">
      <c r="A474" s="51"/>
      <c r="B474" s="51"/>
      <c r="C474" s="50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</row>
    <row r="475" ht="12.75" customHeight="1">
      <c r="A475" s="51"/>
      <c r="B475" s="51"/>
      <c r="C475" s="50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</row>
    <row r="476" ht="12.75" customHeight="1">
      <c r="A476" s="51"/>
      <c r="B476" s="51"/>
      <c r="C476" s="50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</row>
    <row r="477" ht="12.75" customHeight="1">
      <c r="A477" s="51"/>
      <c r="B477" s="51"/>
      <c r="C477" s="50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</row>
    <row r="478" ht="12.75" customHeight="1">
      <c r="A478" s="51"/>
      <c r="B478" s="51"/>
      <c r="C478" s="50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</row>
    <row r="479" ht="12.75" customHeight="1">
      <c r="A479" s="51"/>
      <c r="B479" s="51"/>
      <c r="C479" s="50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</row>
    <row r="480" ht="12.75" customHeight="1">
      <c r="A480" s="51"/>
      <c r="B480" s="51"/>
      <c r="C480" s="50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</row>
    <row r="481" ht="12.75" customHeight="1">
      <c r="A481" s="51"/>
      <c r="B481" s="51"/>
      <c r="C481" s="50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</row>
    <row r="482" ht="12.75" customHeight="1">
      <c r="A482" s="51"/>
      <c r="B482" s="51"/>
      <c r="C482" s="50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</row>
    <row r="483" ht="12.75" customHeight="1">
      <c r="A483" s="51"/>
      <c r="B483" s="51"/>
      <c r="C483" s="50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</row>
    <row r="484" ht="12.75" customHeight="1">
      <c r="A484" s="51"/>
      <c r="B484" s="51"/>
      <c r="C484" s="50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</row>
    <row r="485" ht="12.75" customHeight="1">
      <c r="A485" s="51"/>
      <c r="B485" s="51"/>
      <c r="C485" s="50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</row>
    <row r="486" ht="12.75" customHeight="1">
      <c r="A486" s="51"/>
      <c r="B486" s="51"/>
      <c r="C486" s="50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</row>
    <row r="487" ht="12.75" customHeight="1">
      <c r="A487" s="51"/>
      <c r="B487" s="51"/>
      <c r="C487" s="50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</row>
    <row r="488" ht="12.75" customHeight="1">
      <c r="A488" s="51"/>
      <c r="B488" s="51"/>
      <c r="C488" s="50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</row>
    <row r="489" ht="12.75" customHeight="1">
      <c r="A489" s="51"/>
      <c r="B489" s="51"/>
      <c r="C489" s="50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</row>
    <row r="490" ht="12.75" customHeight="1">
      <c r="A490" s="51"/>
      <c r="B490" s="51"/>
      <c r="C490" s="50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</row>
    <row r="491" ht="12.75" customHeight="1">
      <c r="A491" s="51"/>
      <c r="B491" s="51"/>
      <c r="C491" s="50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</row>
    <row r="492" ht="12.75" customHeight="1">
      <c r="A492" s="51"/>
      <c r="B492" s="51"/>
      <c r="C492" s="50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</row>
    <row r="493" ht="12.75" customHeight="1">
      <c r="A493" s="51"/>
      <c r="B493" s="51"/>
      <c r="C493" s="50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</row>
    <row r="494" ht="12.75" customHeight="1">
      <c r="A494" s="51"/>
      <c r="B494" s="51"/>
      <c r="C494" s="50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</row>
    <row r="495" ht="12.75" customHeight="1">
      <c r="A495" s="51"/>
      <c r="B495" s="51"/>
      <c r="C495" s="50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</row>
    <row r="496" ht="12.75" customHeight="1">
      <c r="A496" s="51"/>
      <c r="B496" s="51"/>
      <c r="C496" s="50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</row>
    <row r="497" ht="12.75" customHeight="1">
      <c r="A497" s="51"/>
      <c r="B497" s="51"/>
      <c r="C497" s="50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</row>
    <row r="498" ht="12.75" customHeight="1">
      <c r="A498" s="51"/>
      <c r="B498" s="51"/>
      <c r="C498" s="50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</row>
    <row r="499" ht="12.75" customHeight="1">
      <c r="A499" s="51"/>
      <c r="B499" s="51"/>
      <c r="C499" s="50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</row>
    <row r="500" ht="12.75" customHeight="1">
      <c r="A500" s="51"/>
      <c r="B500" s="51"/>
      <c r="C500" s="50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</row>
    <row r="501" ht="12.75" customHeight="1">
      <c r="A501" s="51"/>
      <c r="B501" s="51"/>
      <c r="C501" s="50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</row>
    <row r="502" ht="12.75" customHeight="1">
      <c r="A502" s="51"/>
      <c r="B502" s="51"/>
      <c r="C502" s="50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</row>
    <row r="503" ht="12.75" customHeight="1">
      <c r="A503" s="51"/>
      <c r="B503" s="51"/>
      <c r="C503" s="50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</row>
    <row r="504" ht="12.75" customHeight="1">
      <c r="A504" s="51"/>
      <c r="B504" s="51"/>
      <c r="C504" s="50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</row>
    <row r="505" ht="12.75" customHeight="1">
      <c r="A505" s="51"/>
      <c r="B505" s="51"/>
      <c r="C505" s="50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</row>
    <row r="506" ht="12.75" customHeight="1">
      <c r="A506" s="51"/>
      <c r="B506" s="51"/>
      <c r="C506" s="50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</row>
    <row r="507" ht="12.75" customHeight="1">
      <c r="A507" s="51"/>
      <c r="B507" s="51"/>
      <c r="C507" s="50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</row>
    <row r="508" ht="12.75" customHeight="1">
      <c r="A508" s="51"/>
      <c r="B508" s="51"/>
      <c r="C508" s="50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</row>
    <row r="509" ht="12.75" customHeight="1">
      <c r="A509" s="51"/>
      <c r="B509" s="51"/>
      <c r="C509" s="50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</row>
    <row r="510" ht="12.75" customHeight="1">
      <c r="A510" s="51"/>
      <c r="B510" s="51"/>
      <c r="C510" s="50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</row>
    <row r="511" ht="12.75" customHeight="1">
      <c r="A511" s="51"/>
      <c r="B511" s="51"/>
      <c r="C511" s="50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</row>
    <row r="512" ht="12.75" customHeight="1">
      <c r="A512" s="51"/>
      <c r="B512" s="51"/>
      <c r="C512" s="50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</row>
    <row r="513" ht="12.75" customHeight="1">
      <c r="A513" s="51"/>
      <c r="B513" s="51"/>
      <c r="C513" s="50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</row>
    <row r="514" ht="12.75" customHeight="1">
      <c r="A514" s="51"/>
      <c r="B514" s="51"/>
      <c r="C514" s="50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</row>
    <row r="515" ht="12.75" customHeight="1">
      <c r="A515" s="51"/>
      <c r="B515" s="51"/>
      <c r="C515" s="50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</row>
    <row r="516" ht="12.75" customHeight="1">
      <c r="A516" s="51"/>
      <c r="B516" s="51"/>
      <c r="C516" s="50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</row>
    <row r="517" ht="12.75" customHeight="1">
      <c r="A517" s="51"/>
      <c r="B517" s="51"/>
      <c r="C517" s="50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</row>
    <row r="518" ht="12.75" customHeight="1">
      <c r="A518" s="51"/>
      <c r="B518" s="51"/>
      <c r="C518" s="50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</row>
    <row r="519" ht="12.75" customHeight="1">
      <c r="A519" s="51"/>
      <c r="B519" s="51"/>
      <c r="C519" s="50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</row>
    <row r="520" ht="12.75" customHeight="1">
      <c r="A520" s="51"/>
      <c r="B520" s="51"/>
      <c r="C520" s="50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</row>
    <row r="521" ht="12.75" customHeight="1">
      <c r="A521" s="51"/>
      <c r="B521" s="51"/>
      <c r="C521" s="50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</row>
    <row r="522" ht="12.75" customHeight="1">
      <c r="A522" s="51"/>
      <c r="B522" s="51"/>
      <c r="C522" s="50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</row>
    <row r="523" ht="12.75" customHeight="1">
      <c r="A523" s="51"/>
      <c r="B523" s="51"/>
      <c r="C523" s="50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</row>
    <row r="524" ht="12.75" customHeight="1">
      <c r="A524" s="51"/>
      <c r="B524" s="51"/>
      <c r="C524" s="50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</row>
    <row r="525" ht="12.75" customHeight="1">
      <c r="A525" s="51"/>
      <c r="B525" s="51"/>
      <c r="C525" s="50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</row>
    <row r="526" ht="12.75" customHeight="1">
      <c r="A526" s="51"/>
      <c r="B526" s="51"/>
      <c r="C526" s="50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</row>
    <row r="527" ht="12.75" customHeight="1">
      <c r="A527" s="51"/>
      <c r="B527" s="51"/>
      <c r="C527" s="50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</row>
    <row r="528" ht="12.75" customHeight="1">
      <c r="A528" s="51"/>
      <c r="B528" s="51"/>
      <c r="C528" s="50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</row>
    <row r="529" ht="12.75" customHeight="1">
      <c r="A529" s="51"/>
      <c r="B529" s="51"/>
      <c r="C529" s="50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</row>
    <row r="530" ht="12.75" customHeight="1">
      <c r="A530" s="51"/>
      <c r="B530" s="51"/>
      <c r="C530" s="50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</row>
    <row r="531" ht="12.75" customHeight="1">
      <c r="A531" s="51"/>
      <c r="B531" s="51"/>
      <c r="C531" s="50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</row>
    <row r="532" ht="12.75" customHeight="1">
      <c r="A532" s="51"/>
      <c r="B532" s="51"/>
      <c r="C532" s="50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</row>
    <row r="533" ht="12.75" customHeight="1">
      <c r="A533" s="51"/>
      <c r="B533" s="51"/>
      <c r="C533" s="50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</row>
    <row r="534" ht="12.75" customHeight="1">
      <c r="A534" s="51"/>
      <c r="B534" s="51"/>
      <c r="C534" s="50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</row>
    <row r="535" ht="12.75" customHeight="1">
      <c r="A535" s="51"/>
      <c r="B535" s="51"/>
      <c r="C535" s="50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</row>
    <row r="536" ht="12.75" customHeight="1">
      <c r="A536" s="51"/>
      <c r="B536" s="51"/>
      <c r="C536" s="50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</row>
    <row r="537" ht="12.75" customHeight="1">
      <c r="A537" s="51"/>
      <c r="B537" s="51"/>
      <c r="C537" s="50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</row>
    <row r="538" ht="12.75" customHeight="1">
      <c r="A538" s="51"/>
      <c r="B538" s="51"/>
      <c r="C538" s="50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</row>
    <row r="539" ht="12.75" customHeight="1">
      <c r="A539" s="51"/>
      <c r="B539" s="51"/>
      <c r="C539" s="50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</row>
    <row r="540" ht="12.75" customHeight="1">
      <c r="A540" s="51"/>
      <c r="B540" s="51"/>
      <c r="C540" s="50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</row>
    <row r="541" ht="12.75" customHeight="1">
      <c r="A541" s="51"/>
      <c r="B541" s="51"/>
      <c r="C541" s="50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</row>
    <row r="542" ht="12.75" customHeight="1">
      <c r="A542" s="51"/>
      <c r="B542" s="51"/>
      <c r="C542" s="50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</row>
    <row r="543" ht="12.75" customHeight="1">
      <c r="A543" s="51"/>
      <c r="B543" s="51"/>
      <c r="C543" s="50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</row>
    <row r="544" ht="12.75" customHeight="1">
      <c r="A544" s="51"/>
      <c r="B544" s="51"/>
      <c r="C544" s="50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</row>
    <row r="545" ht="12.75" customHeight="1">
      <c r="A545" s="51"/>
      <c r="B545" s="51"/>
      <c r="C545" s="50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</row>
    <row r="546" ht="12.75" customHeight="1">
      <c r="A546" s="51"/>
      <c r="B546" s="51"/>
      <c r="C546" s="50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</row>
    <row r="547" ht="12.75" customHeight="1">
      <c r="A547" s="51"/>
      <c r="B547" s="51"/>
      <c r="C547" s="50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</row>
    <row r="548" ht="12.75" customHeight="1">
      <c r="A548" s="51"/>
      <c r="B548" s="51"/>
      <c r="C548" s="50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</row>
    <row r="549" ht="12.75" customHeight="1">
      <c r="A549" s="51"/>
      <c r="B549" s="51"/>
      <c r="C549" s="50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</row>
    <row r="550" ht="12.75" customHeight="1">
      <c r="A550" s="51"/>
      <c r="B550" s="51"/>
      <c r="C550" s="50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</row>
    <row r="551" ht="12.75" customHeight="1">
      <c r="A551" s="51"/>
      <c r="B551" s="51"/>
      <c r="C551" s="50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</row>
    <row r="552" ht="12.75" customHeight="1">
      <c r="A552" s="51"/>
      <c r="B552" s="51"/>
      <c r="C552" s="50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</row>
    <row r="553" ht="12.75" customHeight="1">
      <c r="A553" s="51"/>
      <c r="B553" s="51"/>
      <c r="C553" s="50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</row>
    <row r="554" ht="12.75" customHeight="1">
      <c r="A554" s="51"/>
      <c r="B554" s="51"/>
      <c r="C554" s="50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</row>
    <row r="555" ht="12.75" customHeight="1">
      <c r="A555" s="51"/>
      <c r="B555" s="51"/>
      <c r="C555" s="50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</row>
    <row r="556" ht="12.75" customHeight="1">
      <c r="A556" s="51"/>
      <c r="B556" s="51"/>
      <c r="C556" s="50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</row>
    <row r="557" ht="12.75" customHeight="1">
      <c r="A557" s="51"/>
      <c r="B557" s="51"/>
      <c r="C557" s="50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</row>
    <row r="558" ht="12.75" customHeight="1">
      <c r="A558" s="51"/>
      <c r="B558" s="51"/>
      <c r="C558" s="50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</row>
    <row r="559" ht="12.75" customHeight="1">
      <c r="A559" s="51"/>
      <c r="B559" s="51"/>
      <c r="C559" s="50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</row>
    <row r="560" ht="12.75" customHeight="1">
      <c r="A560" s="51"/>
      <c r="B560" s="51"/>
      <c r="C560" s="50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</row>
    <row r="561" ht="12.75" customHeight="1">
      <c r="A561" s="51"/>
      <c r="B561" s="51"/>
      <c r="C561" s="50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</row>
    <row r="562" ht="12.75" customHeight="1">
      <c r="A562" s="51"/>
      <c r="B562" s="51"/>
      <c r="C562" s="50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</row>
    <row r="563" ht="12.75" customHeight="1">
      <c r="A563" s="51"/>
      <c r="B563" s="51"/>
      <c r="C563" s="50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</row>
    <row r="564" ht="12.75" customHeight="1">
      <c r="A564" s="51"/>
      <c r="B564" s="51"/>
      <c r="C564" s="50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</row>
    <row r="565" ht="12.75" customHeight="1">
      <c r="A565" s="51"/>
      <c r="B565" s="51"/>
      <c r="C565" s="50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</row>
    <row r="566" ht="12.75" customHeight="1">
      <c r="A566" s="51"/>
      <c r="B566" s="51"/>
      <c r="C566" s="50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</row>
    <row r="567" ht="12.75" customHeight="1">
      <c r="A567" s="51"/>
      <c r="B567" s="51"/>
      <c r="C567" s="50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</row>
    <row r="568" ht="12.75" customHeight="1">
      <c r="A568" s="51"/>
      <c r="B568" s="51"/>
      <c r="C568" s="50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</row>
    <row r="569" ht="12.75" customHeight="1">
      <c r="A569" s="51"/>
      <c r="B569" s="51"/>
      <c r="C569" s="50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</row>
    <row r="570" ht="12.75" customHeight="1">
      <c r="A570" s="51"/>
      <c r="B570" s="51"/>
      <c r="C570" s="50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</row>
    <row r="571" ht="12.75" customHeight="1">
      <c r="A571" s="51"/>
      <c r="B571" s="51"/>
      <c r="C571" s="50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</row>
    <row r="572" ht="12.75" customHeight="1">
      <c r="A572" s="51"/>
      <c r="B572" s="51"/>
      <c r="C572" s="50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</row>
    <row r="573" ht="12.75" customHeight="1">
      <c r="A573" s="51"/>
      <c r="B573" s="51"/>
      <c r="C573" s="50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</row>
    <row r="574" ht="12.75" customHeight="1">
      <c r="A574" s="51"/>
      <c r="B574" s="51"/>
      <c r="C574" s="50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</row>
    <row r="575" ht="12.75" customHeight="1">
      <c r="A575" s="51"/>
      <c r="B575" s="51"/>
      <c r="C575" s="50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</row>
    <row r="576" ht="12.75" customHeight="1">
      <c r="A576" s="51"/>
      <c r="B576" s="51"/>
      <c r="C576" s="50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</row>
    <row r="577" ht="12.75" customHeight="1">
      <c r="A577" s="51"/>
      <c r="B577" s="51"/>
      <c r="C577" s="50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</row>
    <row r="578" ht="12.75" customHeight="1">
      <c r="A578" s="51"/>
      <c r="B578" s="51"/>
      <c r="C578" s="50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</row>
    <row r="579" ht="12.75" customHeight="1">
      <c r="A579" s="51"/>
      <c r="B579" s="51"/>
      <c r="C579" s="50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</row>
    <row r="580" ht="12.75" customHeight="1">
      <c r="A580" s="51"/>
      <c r="B580" s="51"/>
      <c r="C580" s="50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</row>
    <row r="581" ht="12.75" customHeight="1">
      <c r="A581" s="51"/>
      <c r="B581" s="51"/>
      <c r="C581" s="50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</row>
    <row r="582" ht="12.75" customHeight="1">
      <c r="A582" s="51"/>
      <c r="B582" s="51"/>
      <c r="C582" s="50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</row>
    <row r="583" ht="12.75" customHeight="1">
      <c r="A583" s="51"/>
      <c r="B583" s="51"/>
      <c r="C583" s="50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</row>
    <row r="584" ht="12.75" customHeight="1">
      <c r="A584" s="51"/>
      <c r="B584" s="51"/>
      <c r="C584" s="50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</row>
    <row r="585" ht="12.75" customHeight="1">
      <c r="A585" s="51"/>
      <c r="B585" s="51"/>
      <c r="C585" s="50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</row>
    <row r="586" ht="12.75" customHeight="1">
      <c r="A586" s="51"/>
      <c r="B586" s="51"/>
      <c r="C586" s="50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</row>
    <row r="587" ht="12.75" customHeight="1">
      <c r="A587" s="51"/>
      <c r="B587" s="51"/>
      <c r="C587" s="50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</row>
    <row r="588" ht="12.75" customHeight="1">
      <c r="A588" s="51"/>
      <c r="B588" s="51"/>
      <c r="C588" s="50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</row>
    <row r="589" ht="12.75" customHeight="1">
      <c r="A589" s="51"/>
      <c r="B589" s="51"/>
      <c r="C589" s="50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</row>
    <row r="590" ht="12.75" customHeight="1">
      <c r="A590" s="51"/>
      <c r="B590" s="51"/>
      <c r="C590" s="50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</row>
    <row r="591" ht="12.75" customHeight="1">
      <c r="A591" s="51"/>
      <c r="B591" s="51"/>
      <c r="C591" s="50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</row>
    <row r="592" ht="12.75" customHeight="1">
      <c r="A592" s="51"/>
      <c r="B592" s="51"/>
      <c r="C592" s="50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</row>
    <row r="593" ht="12.75" customHeight="1">
      <c r="A593" s="51"/>
      <c r="B593" s="51"/>
      <c r="C593" s="50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</row>
    <row r="594" ht="12.75" customHeight="1">
      <c r="A594" s="51"/>
      <c r="B594" s="51"/>
      <c r="C594" s="50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</row>
    <row r="595" ht="12.75" customHeight="1">
      <c r="A595" s="51"/>
      <c r="B595" s="51"/>
      <c r="C595" s="50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</row>
    <row r="596" ht="12.75" customHeight="1">
      <c r="A596" s="51"/>
      <c r="B596" s="51"/>
      <c r="C596" s="50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</row>
    <row r="597" ht="12.75" customHeight="1">
      <c r="A597" s="51"/>
      <c r="B597" s="51"/>
      <c r="C597" s="50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</row>
    <row r="598" ht="12.75" customHeight="1">
      <c r="A598" s="51"/>
      <c r="B598" s="51"/>
      <c r="C598" s="50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</row>
    <row r="599" ht="12.75" customHeight="1">
      <c r="A599" s="51"/>
      <c r="B599" s="51"/>
      <c r="C599" s="50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</row>
    <row r="600" ht="12.75" customHeight="1">
      <c r="A600" s="51"/>
      <c r="B600" s="51"/>
      <c r="C600" s="50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</row>
    <row r="601" ht="12.75" customHeight="1">
      <c r="A601" s="51"/>
      <c r="B601" s="51"/>
      <c r="C601" s="50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</row>
    <row r="602" ht="12.75" customHeight="1">
      <c r="A602" s="51"/>
      <c r="B602" s="51"/>
      <c r="C602" s="50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</row>
    <row r="603" ht="12.75" customHeight="1">
      <c r="A603" s="51"/>
      <c r="B603" s="51"/>
      <c r="C603" s="50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</row>
    <row r="604" ht="12.75" customHeight="1">
      <c r="A604" s="51"/>
      <c r="B604" s="51"/>
      <c r="C604" s="50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</row>
    <row r="605" ht="12.75" customHeight="1">
      <c r="A605" s="51"/>
      <c r="B605" s="51"/>
      <c r="C605" s="50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</row>
    <row r="606" ht="12.75" customHeight="1">
      <c r="A606" s="51"/>
      <c r="B606" s="51"/>
      <c r="C606" s="50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</row>
    <row r="607" ht="12.75" customHeight="1">
      <c r="A607" s="51"/>
      <c r="B607" s="51"/>
      <c r="C607" s="50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</row>
    <row r="608" ht="12.75" customHeight="1">
      <c r="A608" s="51"/>
      <c r="B608" s="51"/>
      <c r="C608" s="50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</row>
    <row r="609" ht="12.75" customHeight="1">
      <c r="A609" s="51"/>
      <c r="B609" s="51"/>
      <c r="C609" s="50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</row>
    <row r="610" ht="12.75" customHeight="1">
      <c r="A610" s="51"/>
      <c r="B610" s="51"/>
      <c r="C610" s="50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</row>
    <row r="611" ht="12.75" customHeight="1">
      <c r="A611" s="51"/>
      <c r="B611" s="51"/>
      <c r="C611" s="50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</row>
    <row r="612" ht="12.75" customHeight="1">
      <c r="A612" s="51"/>
      <c r="B612" s="51"/>
      <c r="C612" s="50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</row>
    <row r="613" ht="12.75" customHeight="1">
      <c r="A613" s="51"/>
      <c r="B613" s="51"/>
      <c r="C613" s="50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</row>
    <row r="614" ht="12.75" customHeight="1">
      <c r="A614" s="51"/>
      <c r="B614" s="51"/>
      <c r="C614" s="50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</row>
    <row r="615" ht="12.75" customHeight="1">
      <c r="A615" s="51"/>
      <c r="B615" s="51"/>
      <c r="C615" s="50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</row>
    <row r="616" ht="12.75" customHeight="1">
      <c r="A616" s="51"/>
      <c r="B616" s="51"/>
      <c r="C616" s="50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</row>
    <row r="617" ht="12.75" customHeight="1">
      <c r="A617" s="51"/>
      <c r="B617" s="51"/>
      <c r="C617" s="50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</row>
    <row r="618" ht="12.75" customHeight="1">
      <c r="A618" s="51"/>
      <c r="B618" s="51"/>
      <c r="C618" s="50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</row>
    <row r="619" ht="12.75" customHeight="1">
      <c r="A619" s="51"/>
      <c r="B619" s="51"/>
      <c r="C619" s="50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</row>
    <row r="620" ht="12.75" customHeight="1">
      <c r="A620" s="51"/>
      <c r="B620" s="51"/>
      <c r="C620" s="50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</row>
    <row r="621" ht="12.75" customHeight="1">
      <c r="A621" s="51"/>
      <c r="B621" s="51"/>
      <c r="C621" s="50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</row>
    <row r="622" ht="12.75" customHeight="1">
      <c r="A622" s="51"/>
      <c r="B622" s="51"/>
      <c r="C622" s="50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</row>
    <row r="623" ht="12.75" customHeight="1">
      <c r="A623" s="51"/>
      <c r="B623" s="51"/>
      <c r="C623" s="50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</row>
    <row r="624" ht="12.75" customHeight="1">
      <c r="A624" s="51"/>
      <c r="B624" s="51"/>
      <c r="C624" s="50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</row>
    <row r="625" ht="12.75" customHeight="1">
      <c r="A625" s="51"/>
      <c r="B625" s="51"/>
      <c r="C625" s="50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</row>
    <row r="626" ht="12.75" customHeight="1">
      <c r="A626" s="51"/>
      <c r="B626" s="51"/>
      <c r="C626" s="50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</row>
    <row r="627" ht="12.75" customHeight="1">
      <c r="A627" s="51"/>
      <c r="B627" s="51"/>
      <c r="C627" s="50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</row>
    <row r="628" ht="12.75" customHeight="1">
      <c r="A628" s="51"/>
      <c r="B628" s="51"/>
      <c r="C628" s="50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</row>
    <row r="629" ht="12.75" customHeight="1">
      <c r="A629" s="51"/>
      <c r="B629" s="51"/>
      <c r="C629" s="50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</row>
    <row r="630" ht="12.75" customHeight="1">
      <c r="A630" s="51"/>
      <c r="B630" s="51"/>
      <c r="C630" s="50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</row>
    <row r="631" ht="12.75" customHeight="1">
      <c r="A631" s="51"/>
      <c r="B631" s="51"/>
      <c r="C631" s="50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</row>
    <row r="632" ht="12.75" customHeight="1">
      <c r="A632" s="51"/>
      <c r="B632" s="51"/>
      <c r="C632" s="50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</row>
    <row r="633" ht="12.75" customHeight="1">
      <c r="A633" s="51"/>
      <c r="B633" s="51"/>
      <c r="C633" s="50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</row>
    <row r="634" ht="12.75" customHeight="1">
      <c r="A634" s="51"/>
      <c r="B634" s="51"/>
      <c r="C634" s="50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</row>
    <row r="635" ht="12.75" customHeight="1">
      <c r="A635" s="51"/>
      <c r="B635" s="51"/>
      <c r="C635" s="50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</row>
    <row r="636" ht="12.75" customHeight="1">
      <c r="A636" s="51"/>
      <c r="B636" s="51"/>
      <c r="C636" s="50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</row>
    <row r="637" ht="12.75" customHeight="1">
      <c r="A637" s="51"/>
      <c r="B637" s="51"/>
      <c r="C637" s="50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</row>
    <row r="638" ht="12.75" customHeight="1">
      <c r="A638" s="51"/>
      <c r="B638" s="51"/>
      <c r="C638" s="50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</row>
    <row r="639" ht="12.75" customHeight="1">
      <c r="A639" s="51"/>
      <c r="B639" s="51"/>
      <c r="C639" s="50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</row>
    <row r="640" ht="12.75" customHeight="1">
      <c r="A640" s="51"/>
      <c r="B640" s="51"/>
      <c r="C640" s="50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</row>
    <row r="641" ht="12.75" customHeight="1">
      <c r="A641" s="51"/>
      <c r="B641" s="51"/>
      <c r="C641" s="50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</row>
    <row r="642" ht="12.75" customHeight="1">
      <c r="A642" s="51"/>
      <c r="B642" s="51"/>
      <c r="C642" s="50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</row>
    <row r="643" ht="12.75" customHeight="1">
      <c r="A643" s="51"/>
      <c r="B643" s="51"/>
      <c r="C643" s="50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</row>
    <row r="644" ht="12.75" customHeight="1">
      <c r="A644" s="51"/>
      <c r="B644" s="51"/>
      <c r="C644" s="50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</row>
    <row r="645" ht="12.75" customHeight="1">
      <c r="A645" s="51"/>
      <c r="B645" s="51"/>
      <c r="C645" s="50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</row>
    <row r="646" ht="12.75" customHeight="1">
      <c r="A646" s="51"/>
      <c r="B646" s="51"/>
      <c r="C646" s="50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</row>
    <row r="647" ht="12.75" customHeight="1">
      <c r="A647" s="51"/>
      <c r="B647" s="51"/>
      <c r="C647" s="50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</row>
    <row r="648" ht="12.75" customHeight="1">
      <c r="A648" s="51"/>
      <c r="B648" s="51"/>
      <c r="C648" s="50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</row>
    <row r="649" ht="12.75" customHeight="1">
      <c r="A649" s="51"/>
      <c r="B649" s="51"/>
      <c r="C649" s="50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</row>
    <row r="650" ht="12.75" customHeight="1">
      <c r="A650" s="51"/>
      <c r="B650" s="51"/>
      <c r="C650" s="50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</row>
    <row r="651" ht="12.75" customHeight="1">
      <c r="A651" s="51"/>
      <c r="B651" s="51"/>
      <c r="C651" s="50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</row>
    <row r="652" ht="12.75" customHeight="1">
      <c r="A652" s="51"/>
      <c r="B652" s="51"/>
      <c r="C652" s="50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</row>
    <row r="653" ht="12.75" customHeight="1">
      <c r="A653" s="51"/>
      <c r="B653" s="51"/>
      <c r="C653" s="50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</row>
    <row r="654" ht="12.75" customHeight="1">
      <c r="A654" s="51"/>
      <c r="B654" s="51"/>
      <c r="C654" s="50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</row>
    <row r="655" ht="12.75" customHeight="1">
      <c r="A655" s="51"/>
      <c r="B655" s="51"/>
      <c r="C655" s="50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</row>
    <row r="656" ht="12.75" customHeight="1">
      <c r="A656" s="51"/>
      <c r="B656" s="51"/>
      <c r="C656" s="50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</row>
    <row r="657" ht="12.75" customHeight="1">
      <c r="A657" s="51"/>
      <c r="B657" s="51"/>
      <c r="C657" s="50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</row>
    <row r="658" ht="12.75" customHeight="1">
      <c r="A658" s="51"/>
      <c r="B658" s="51"/>
      <c r="C658" s="50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</row>
    <row r="659" ht="12.75" customHeight="1">
      <c r="A659" s="51"/>
      <c r="B659" s="51"/>
      <c r="C659" s="50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</row>
    <row r="660" ht="12.75" customHeight="1">
      <c r="A660" s="51"/>
      <c r="B660" s="51"/>
      <c r="C660" s="50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</row>
    <row r="661" ht="12.75" customHeight="1">
      <c r="A661" s="51"/>
      <c r="B661" s="51"/>
      <c r="C661" s="50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</row>
    <row r="662" ht="12.75" customHeight="1">
      <c r="A662" s="51"/>
      <c r="B662" s="51"/>
      <c r="C662" s="50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</row>
    <row r="663" ht="12.75" customHeight="1">
      <c r="A663" s="51"/>
      <c r="B663" s="51"/>
      <c r="C663" s="50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</row>
    <row r="664" ht="12.75" customHeight="1">
      <c r="A664" s="51"/>
      <c r="B664" s="51"/>
      <c r="C664" s="50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</row>
    <row r="665" ht="12.75" customHeight="1">
      <c r="A665" s="51"/>
      <c r="B665" s="51"/>
      <c r="C665" s="50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</row>
    <row r="666" ht="12.75" customHeight="1">
      <c r="A666" s="51"/>
      <c r="B666" s="51"/>
      <c r="C666" s="50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</row>
    <row r="667" ht="12.75" customHeight="1">
      <c r="A667" s="51"/>
      <c r="B667" s="51"/>
      <c r="C667" s="50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</row>
    <row r="668" ht="12.75" customHeight="1">
      <c r="A668" s="51"/>
      <c r="B668" s="51"/>
      <c r="C668" s="50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</row>
    <row r="669" ht="12.75" customHeight="1">
      <c r="A669" s="51"/>
      <c r="B669" s="51"/>
      <c r="C669" s="50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</row>
    <row r="670" ht="12.75" customHeight="1">
      <c r="A670" s="51"/>
      <c r="B670" s="51"/>
      <c r="C670" s="50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</row>
    <row r="671" ht="12.75" customHeight="1">
      <c r="A671" s="51"/>
      <c r="B671" s="51"/>
      <c r="C671" s="50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</row>
    <row r="672" ht="12.75" customHeight="1">
      <c r="A672" s="51"/>
      <c r="B672" s="51"/>
      <c r="C672" s="50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</row>
    <row r="673" ht="12.75" customHeight="1">
      <c r="A673" s="51"/>
      <c r="B673" s="51"/>
      <c r="C673" s="50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</row>
    <row r="674" ht="12.75" customHeight="1">
      <c r="A674" s="51"/>
      <c r="B674" s="51"/>
      <c r="C674" s="50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</row>
    <row r="675" ht="12.75" customHeight="1">
      <c r="A675" s="51"/>
      <c r="B675" s="51"/>
      <c r="C675" s="50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</row>
    <row r="676" ht="12.75" customHeight="1">
      <c r="A676" s="51"/>
      <c r="B676" s="51"/>
      <c r="C676" s="50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</row>
    <row r="677" ht="12.75" customHeight="1">
      <c r="A677" s="51"/>
      <c r="B677" s="51"/>
      <c r="C677" s="50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</row>
    <row r="678" ht="12.75" customHeight="1">
      <c r="A678" s="51"/>
      <c r="B678" s="51"/>
      <c r="C678" s="50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</row>
    <row r="679" ht="12.75" customHeight="1">
      <c r="A679" s="51"/>
      <c r="B679" s="51"/>
      <c r="C679" s="50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</row>
    <row r="680" ht="12.75" customHeight="1">
      <c r="A680" s="51"/>
      <c r="B680" s="51"/>
      <c r="C680" s="50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</row>
    <row r="681" ht="12.75" customHeight="1">
      <c r="A681" s="51"/>
      <c r="B681" s="51"/>
      <c r="C681" s="50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</row>
    <row r="682" ht="12.75" customHeight="1">
      <c r="A682" s="51"/>
      <c r="B682" s="51"/>
      <c r="C682" s="50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</row>
    <row r="683" ht="12.75" customHeight="1">
      <c r="A683" s="51"/>
      <c r="B683" s="51"/>
      <c r="C683" s="50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</row>
    <row r="684" ht="12.75" customHeight="1">
      <c r="A684" s="51"/>
      <c r="B684" s="51"/>
      <c r="C684" s="50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</row>
    <row r="685" ht="12.75" customHeight="1">
      <c r="A685" s="51"/>
      <c r="B685" s="51"/>
      <c r="C685" s="50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</row>
    <row r="686" ht="12.75" customHeight="1">
      <c r="A686" s="51"/>
      <c r="B686" s="51"/>
      <c r="C686" s="50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</row>
    <row r="687" ht="12.75" customHeight="1">
      <c r="A687" s="51"/>
      <c r="B687" s="51"/>
      <c r="C687" s="50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</row>
    <row r="688" ht="12.75" customHeight="1">
      <c r="A688" s="51"/>
      <c r="B688" s="51"/>
      <c r="C688" s="50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</row>
    <row r="689" ht="12.75" customHeight="1">
      <c r="A689" s="51"/>
      <c r="B689" s="51"/>
      <c r="C689" s="50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</row>
    <row r="690" ht="12.75" customHeight="1">
      <c r="A690" s="51"/>
      <c r="B690" s="51"/>
      <c r="C690" s="50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</row>
    <row r="691" ht="12.75" customHeight="1">
      <c r="A691" s="51"/>
      <c r="B691" s="51"/>
      <c r="C691" s="50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</row>
    <row r="692" ht="12.75" customHeight="1">
      <c r="A692" s="51"/>
      <c r="B692" s="51"/>
      <c r="C692" s="50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</row>
    <row r="693" ht="12.75" customHeight="1">
      <c r="A693" s="51"/>
      <c r="B693" s="51"/>
      <c r="C693" s="50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</row>
    <row r="694" ht="12.75" customHeight="1">
      <c r="A694" s="51"/>
      <c r="B694" s="51"/>
      <c r="C694" s="50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</row>
    <row r="695" ht="12.75" customHeight="1">
      <c r="A695" s="51"/>
      <c r="B695" s="51"/>
      <c r="C695" s="50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</row>
    <row r="696" ht="12.75" customHeight="1">
      <c r="A696" s="51"/>
      <c r="B696" s="51"/>
      <c r="C696" s="50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</row>
    <row r="697" ht="12.75" customHeight="1">
      <c r="A697" s="51"/>
      <c r="B697" s="51"/>
      <c r="C697" s="50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</row>
    <row r="698" ht="12.75" customHeight="1">
      <c r="A698" s="51"/>
      <c r="B698" s="51"/>
      <c r="C698" s="50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</row>
    <row r="699" ht="12.75" customHeight="1">
      <c r="A699" s="51"/>
      <c r="B699" s="51"/>
      <c r="C699" s="50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</row>
    <row r="700" ht="12.75" customHeight="1">
      <c r="A700" s="51"/>
      <c r="B700" s="51"/>
      <c r="C700" s="50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</row>
    <row r="701" ht="12.75" customHeight="1">
      <c r="A701" s="51"/>
      <c r="B701" s="51"/>
      <c r="C701" s="50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</row>
    <row r="702" ht="12.75" customHeight="1">
      <c r="A702" s="51"/>
      <c r="B702" s="51"/>
      <c r="C702" s="50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</row>
    <row r="703" ht="12.75" customHeight="1">
      <c r="A703" s="51"/>
      <c r="B703" s="51"/>
      <c r="C703" s="50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</row>
    <row r="704" ht="12.75" customHeight="1">
      <c r="A704" s="51"/>
      <c r="B704" s="51"/>
      <c r="C704" s="50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</row>
    <row r="705" ht="12.75" customHeight="1">
      <c r="A705" s="51"/>
      <c r="B705" s="51"/>
      <c r="C705" s="50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</row>
    <row r="706" ht="12.75" customHeight="1">
      <c r="A706" s="51"/>
      <c r="B706" s="51"/>
      <c r="C706" s="50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</row>
    <row r="707" ht="12.75" customHeight="1">
      <c r="A707" s="51"/>
      <c r="B707" s="51"/>
      <c r="C707" s="50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</row>
    <row r="708" ht="12.75" customHeight="1">
      <c r="A708" s="51"/>
      <c r="B708" s="51"/>
      <c r="C708" s="50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</row>
    <row r="709" ht="12.75" customHeight="1">
      <c r="A709" s="51"/>
      <c r="B709" s="51"/>
      <c r="C709" s="50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</row>
    <row r="710" ht="12.75" customHeight="1">
      <c r="A710" s="51"/>
      <c r="B710" s="51"/>
      <c r="C710" s="50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</row>
    <row r="711" ht="12.75" customHeight="1">
      <c r="A711" s="51"/>
      <c r="B711" s="51"/>
      <c r="C711" s="50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</row>
    <row r="712" ht="12.75" customHeight="1">
      <c r="A712" s="51"/>
      <c r="B712" s="51"/>
      <c r="C712" s="50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</row>
    <row r="713" ht="12.75" customHeight="1">
      <c r="A713" s="51"/>
      <c r="B713" s="51"/>
      <c r="C713" s="50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</row>
    <row r="714" ht="12.75" customHeight="1">
      <c r="A714" s="51"/>
      <c r="B714" s="51"/>
      <c r="C714" s="50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</row>
    <row r="715" ht="12.75" customHeight="1">
      <c r="A715" s="51"/>
      <c r="B715" s="51"/>
      <c r="C715" s="50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</row>
    <row r="716" ht="12.75" customHeight="1">
      <c r="A716" s="51"/>
      <c r="B716" s="51"/>
      <c r="C716" s="50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</row>
    <row r="717" ht="12.75" customHeight="1">
      <c r="A717" s="51"/>
      <c r="B717" s="51"/>
      <c r="C717" s="50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</row>
    <row r="718" ht="12.75" customHeight="1">
      <c r="A718" s="51"/>
      <c r="B718" s="51"/>
      <c r="C718" s="50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</row>
    <row r="719" ht="12.75" customHeight="1">
      <c r="A719" s="51"/>
      <c r="B719" s="51"/>
      <c r="C719" s="50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</row>
    <row r="720" ht="12.75" customHeight="1">
      <c r="A720" s="51"/>
      <c r="B720" s="51"/>
      <c r="C720" s="50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</row>
    <row r="721" ht="12.75" customHeight="1">
      <c r="A721" s="51"/>
      <c r="B721" s="51"/>
      <c r="C721" s="50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</row>
    <row r="722" ht="12.75" customHeight="1">
      <c r="A722" s="51"/>
      <c r="B722" s="51"/>
      <c r="C722" s="50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</row>
    <row r="723" ht="12.75" customHeight="1">
      <c r="A723" s="51"/>
      <c r="B723" s="51"/>
      <c r="C723" s="50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</row>
    <row r="724" ht="12.75" customHeight="1">
      <c r="A724" s="51"/>
      <c r="B724" s="51"/>
      <c r="C724" s="50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</row>
    <row r="725" ht="12.75" customHeight="1">
      <c r="A725" s="51"/>
      <c r="B725" s="51"/>
      <c r="C725" s="50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</row>
    <row r="726" ht="12.75" customHeight="1">
      <c r="A726" s="51"/>
      <c r="B726" s="51"/>
      <c r="C726" s="50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</row>
    <row r="727" ht="12.75" customHeight="1">
      <c r="A727" s="51"/>
      <c r="B727" s="51"/>
      <c r="C727" s="50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</row>
    <row r="728" ht="12.75" customHeight="1">
      <c r="A728" s="51"/>
      <c r="B728" s="51"/>
      <c r="C728" s="50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</row>
    <row r="729" ht="12.75" customHeight="1">
      <c r="A729" s="51"/>
      <c r="B729" s="51"/>
      <c r="C729" s="50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</row>
    <row r="730" ht="12.75" customHeight="1">
      <c r="A730" s="51"/>
      <c r="B730" s="51"/>
      <c r="C730" s="50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</row>
    <row r="731" ht="12.75" customHeight="1">
      <c r="A731" s="51"/>
      <c r="B731" s="51"/>
      <c r="C731" s="50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</row>
    <row r="732" ht="12.75" customHeight="1">
      <c r="A732" s="51"/>
      <c r="B732" s="51"/>
      <c r="C732" s="50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</row>
    <row r="733" ht="12.75" customHeight="1">
      <c r="A733" s="51"/>
      <c r="B733" s="51"/>
      <c r="C733" s="50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</row>
    <row r="734" ht="12.75" customHeight="1">
      <c r="A734" s="51"/>
      <c r="B734" s="51"/>
      <c r="C734" s="50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</row>
    <row r="735" ht="12.75" customHeight="1">
      <c r="A735" s="51"/>
      <c r="B735" s="51"/>
      <c r="C735" s="50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</row>
    <row r="736" ht="12.75" customHeight="1">
      <c r="A736" s="51"/>
      <c r="B736" s="51"/>
      <c r="C736" s="50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</row>
    <row r="737" ht="12.75" customHeight="1">
      <c r="A737" s="51"/>
      <c r="B737" s="51"/>
      <c r="C737" s="50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</row>
    <row r="738" ht="12.75" customHeight="1">
      <c r="A738" s="51"/>
      <c r="B738" s="51"/>
      <c r="C738" s="50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</row>
    <row r="739" ht="12.75" customHeight="1">
      <c r="A739" s="51"/>
      <c r="B739" s="51"/>
      <c r="C739" s="50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</row>
    <row r="740" ht="12.75" customHeight="1">
      <c r="A740" s="51"/>
      <c r="B740" s="51"/>
      <c r="C740" s="50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</row>
    <row r="741" ht="12.75" customHeight="1">
      <c r="A741" s="51"/>
      <c r="B741" s="51"/>
      <c r="C741" s="50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</row>
    <row r="742" ht="12.75" customHeight="1">
      <c r="A742" s="51"/>
      <c r="B742" s="51"/>
      <c r="C742" s="50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</row>
    <row r="743" ht="12.75" customHeight="1">
      <c r="A743" s="51"/>
      <c r="B743" s="51"/>
      <c r="C743" s="50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</row>
    <row r="744" ht="12.75" customHeight="1">
      <c r="A744" s="51"/>
      <c r="B744" s="51"/>
      <c r="C744" s="50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</row>
    <row r="745" ht="12.75" customHeight="1">
      <c r="A745" s="51"/>
      <c r="B745" s="51"/>
      <c r="C745" s="50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</row>
    <row r="746" ht="12.75" customHeight="1">
      <c r="A746" s="51"/>
      <c r="B746" s="51"/>
      <c r="C746" s="50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</row>
    <row r="747" ht="12.75" customHeight="1">
      <c r="A747" s="51"/>
      <c r="B747" s="51"/>
      <c r="C747" s="50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</row>
    <row r="748" ht="12.75" customHeight="1">
      <c r="A748" s="51"/>
      <c r="B748" s="51"/>
      <c r="C748" s="50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</row>
    <row r="749" ht="12.75" customHeight="1">
      <c r="A749" s="51"/>
      <c r="B749" s="51"/>
      <c r="C749" s="50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</row>
    <row r="750" ht="12.75" customHeight="1">
      <c r="A750" s="51"/>
      <c r="B750" s="51"/>
      <c r="C750" s="50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</row>
    <row r="751" ht="12.75" customHeight="1">
      <c r="A751" s="51"/>
      <c r="B751" s="51"/>
      <c r="C751" s="50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</row>
    <row r="752" ht="12.75" customHeight="1">
      <c r="A752" s="51"/>
      <c r="B752" s="51"/>
      <c r="C752" s="50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</row>
    <row r="753" ht="12.75" customHeight="1">
      <c r="A753" s="51"/>
      <c r="B753" s="51"/>
      <c r="C753" s="50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</row>
    <row r="754" ht="12.75" customHeight="1">
      <c r="A754" s="51"/>
      <c r="B754" s="51"/>
      <c r="C754" s="50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</row>
    <row r="755" ht="12.75" customHeight="1">
      <c r="A755" s="51"/>
      <c r="B755" s="51"/>
      <c r="C755" s="50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</row>
    <row r="756" ht="12.75" customHeight="1">
      <c r="A756" s="51"/>
      <c r="B756" s="51"/>
      <c r="C756" s="50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</row>
    <row r="757" ht="12.75" customHeight="1">
      <c r="A757" s="51"/>
      <c r="B757" s="51"/>
      <c r="C757" s="50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</row>
    <row r="758" ht="12.75" customHeight="1">
      <c r="A758" s="51"/>
      <c r="B758" s="51"/>
      <c r="C758" s="50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</row>
    <row r="759" ht="12.75" customHeight="1">
      <c r="A759" s="51"/>
      <c r="B759" s="51"/>
      <c r="C759" s="50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</row>
    <row r="760" ht="12.75" customHeight="1">
      <c r="A760" s="51"/>
      <c r="B760" s="51"/>
      <c r="C760" s="50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</row>
    <row r="761" ht="12.75" customHeight="1">
      <c r="A761" s="51"/>
      <c r="B761" s="51"/>
      <c r="C761" s="50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</row>
    <row r="762" ht="12.75" customHeight="1">
      <c r="A762" s="51"/>
      <c r="B762" s="51"/>
      <c r="C762" s="50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</row>
    <row r="763" ht="12.75" customHeight="1">
      <c r="A763" s="51"/>
      <c r="B763" s="51"/>
      <c r="C763" s="50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</row>
    <row r="764" ht="12.75" customHeight="1">
      <c r="A764" s="51"/>
      <c r="B764" s="51"/>
      <c r="C764" s="50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</row>
    <row r="765" ht="12.75" customHeight="1">
      <c r="A765" s="51"/>
      <c r="B765" s="51"/>
      <c r="C765" s="50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</row>
    <row r="766" ht="12.75" customHeight="1">
      <c r="A766" s="51"/>
      <c r="B766" s="51"/>
      <c r="C766" s="50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</row>
    <row r="767" ht="12.75" customHeight="1">
      <c r="A767" s="51"/>
      <c r="B767" s="51"/>
      <c r="C767" s="50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</row>
    <row r="768" ht="12.75" customHeight="1">
      <c r="A768" s="51"/>
      <c r="B768" s="51"/>
      <c r="C768" s="50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</row>
    <row r="769" ht="12.75" customHeight="1">
      <c r="A769" s="51"/>
      <c r="B769" s="51"/>
      <c r="C769" s="50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</row>
    <row r="770" ht="12.75" customHeight="1">
      <c r="A770" s="51"/>
      <c r="B770" s="51"/>
      <c r="C770" s="50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</row>
    <row r="771" ht="12.75" customHeight="1">
      <c r="A771" s="51"/>
      <c r="B771" s="51"/>
      <c r="C771" s="50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</row>
    <row r="772" ht="12.75" customHeight="1">
      <c r="A772" s="51"/>
      <c r="B772" s="51"/>
      <c r="C772" s="50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</row>
    <row r="773" ht="12.75" customHeight="1">
      <c r="A773" s="51"/>
      <c r="B773" s="51"/>
      <c r="C773" s="50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</row>
    <row r="774" ht="12.75" customHeight="1">
      <c r="A774" s="51"/>
      <c r="B774" s="51"/>
      <c r="C774" s="50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</row>
    <row r="775" ht="12.75" customHeight="1">
      <c r="A775" s="51"/>
      <c r="B775" s="51"/>
      <c r="C775" s="50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</row>
    <row r="776" ht="12.75" customHeight="1">
      <c r="A776" s="51"/>
      <c r="B776" s="51"/>
      <c r="C776" s="50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</row>
    <row r="777" ht="12.75" customHeight="1">
      <c r="A777" s="51"/>
      <c r="B777" s="51"/>
      <c r="C777" s="50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</row>
    <row r="778" ht="12.75" customHeight="1">
      <c r="A778" s="51"/>
      <c r="B778" s="51"/>
      <c r="C778" s="50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</row>
    <row r="779" ht="12.75" customHeight="1">
      <c r="A779" s="51"/>
      <c r="B779" s="51"/>
      <c r="C779" s="50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</row>
    <row r="780" ht="12.75" customHeight="1">
      <c r="A780" s="51"/>
      <c r="B780" s="51"/>
      <c r="C780" s="50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</row>
    <row r="781" ht="12.75" customHeight="1">
      <c r="A781" s="51"/>
      <c r="B781" s="51"/>
      <c r="C781" s="50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</row>
    <row r="782" ht="12.75" customHeight="1">
      <c r="A782" s="51"/>
      <c r="B782" s="51"/>
      <c r="C782" s="50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</row>
    <row r="783" ht="12.75" customHeight="1">
      <c r="A783" s="51"/>
      <c r="B783" s="51"/>
      <c r="C783" s="50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</row>
    <row r="784" ht="12.75" customHeight="1">
      <c r="A784" s="51"/>
      <c r="B784" s="51"/>
      <c r="C784" s="50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</row>
    <row r="785" ht="12.75" customHeight="1">
      <c r="A785" s="51"/>
      <c r="B785" s="51"/>
      <c r="C785" s="50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</row>
    <row r="786" ht="12.75" customHeight="1">
      <c r="A786" s="51"/>
      <c r="B786" s="51"/>
      <c r="C786" s="50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</row>
    <row r="787" ht="12.75" customHeight="1">
      <c r="A787" s="51"/>
      <c r="B787" s="51"/>
      <c r="C787" s="50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</row>
    <row r="788" ht="12.75" customHeight="1">
      <c r="A788" s="51"/>
      <c r="B788" s="51"/>
      <c r="C788" s="50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</row>
    <row r="789" ht="12.75" customHeight="1">
      <c r="A789" s="51"/>
      <c r="B789" s="51"/>
      <c r="C789" s="50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</row>
    <row r="790" ht="12.75" customHeight="1">
      <c r="A790" s="51"/>
      <c r="B790" s="51"/>
      <c r="C790" s="50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</row>
    <row r="791" ht="12.75" customHeight="1">
      <c r="A791" s="51"/>
      <c r="B791" s="51"/>
      <c r="C791" s="50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</row>
    <row r="792" ht="12.75" customHeight="1">
      <c r="A792" s="51"/>
      <c r="B792" s="51"/>
      <c r="C792" s="50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</row>
    <row r="793" ht="12.75" customHeight="1">
      <c r="A793" s="51"/>
      <c r="B793" s="51"/>
      <c r="C793" s="50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</row>
    <row r="794" ht="12.75" customHeight="1">
      <c r="A794" s="51"/>
      <c r="B794" s="51"/>
      <c r="C794" s="50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</row>
    <row r="795" ht="12.75" customHeight="1">
      <c r="A795" s="51"/>
      <c r="B795" s="51"/>
      <c r="C795" s="50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</row>
    <row r="796" ht="12.75" customHeight="1">
      <c r="A796" s="51"/>
      <c r="B796" s="51"/>
      <c r="C796" s="50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</row>
    <row r="797" ht="12.75" customHeight="1">
      <c r="A797" s="51"/>
      <c r="B797" s="51"/>
      <c r="C797" s="50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</row>
    <row r="798" ht="12.75" customHeight="1">
      <c r="A798" s="51"/>
      <c r="B798" s="51"/>
      <c r="C798" s="50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</row>
    <row r="799" ht="12.75" customHeight="1">
      <c r="A799" s="51"/>
      <c r="B799" s="51"/>
      <c r="C799" s="50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</row>
    <row r="800" ht="12.75" customHeight="1">
      <c r="A800" s="51"/>
      <c r="B800" s="51"/>
      <c r="C800" s="50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</row>
    <row r="801" ht="12.75" customHeight="1">
      <c r="A801" s="51"/>
      <c r="B801" s="51"/>
      <c r="C801" s="50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</row>
    <row r="802" ht="12.75" customHeight="1">
      <c r="A802" s="51"/>
      <c r="B802" s="51"/>
      <c r="C802" s="50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</row>
    <row r="803" ht="12.75" customHeight="1">
      <c r="A803" s="51"/>
      <c r="B803" s="51"/>
      <c r="C803" s="50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</row>
    <row r="804" ht="12.75" customHeight="1">
      <c r="A804" s="51"/>
      <c r="B804" s="51"/>
      <c r="C804" s="50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</row>
    <row r="805" ht="12.75" customHeight="1">
      <c r="A805" s="51"/>
      <c r="B805" s="51"/>
      <c r="C805" s="50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</row>
    <row r="806" ht="12.75" customHeight="1">
      <c r="A806" s="51"/>
      <c r="B806" s="51"/>
      <c r="C806" s="50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</row>
    <row r="807" ht="12.75" customHeight="1">
      <c r="A807" s="51"/>
      <c r="B807" s="51"/>
      <c r="C807" s="50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</row>
    <row r="808" ht="12.75" customHeight="1">
      <c r="A808" s="51"/>
      <c r="B808" s="51"/>
      <c r="C808" s="50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</row>
    <row r="809" ht="12.75" customHeight="1">
      <c r="A809" s="51"/>
      <c r="B809" s="51"/>
      <c r="C809" s="50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</row>
    <row r="810" ht="12.75" customHeight="1">
      <c r="A810" s="51"/>
      <c r="B810" s="51"/>
      <c r="C810" s="50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</row>
    <row r="811" ht="12.75" customHeight="1">
      <c r="A811" s="51"/>
      <c r="B811" s="51"/>
      <c r="C811" s="50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</row>
    <row r="812" ht="12.75" customHeight="1">
      <c r="A812" s="51"/>
      <c r="B812" s="51"/>
      <c r="C812" s="50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</row>
    <row r="813" ht="12.75" customHeight="1">
      <c r="A813" s="51"/>
      <c r="B813" s="51"/>
      <c r="C813" s="50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</row>
    <row r="814" ht="12.75" customHeight="1">
      <c r="A814" s="51"/>
      <c r="B814" s="51"/>
      <c r="C814" s="50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</row>
    <row r="815" ht="12.75" customHeight="1">
      <c r="A815" s="51"/>
      <c r="B815" s="51"/>
      <c r="C815" s="50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</row>
    <row r="816" ht="12.75" customHeight="1">
      <c r="A816" s="51"/>
      <c r="B816" s="51"/>
      <c r="C816" s="50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</row>
    <row r="817" ht="12.75" customHeight="1">
      <c r="A817" s="51"/>
      <c r="B817" s="51"/>
      <c r="C817" s="50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</row>
    <row r="818" ht="12.75" customHeight="1">
      <c r="A818" s="51"/>
      <c r="B818" s="51"/>
      <c r="C818" s="50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</row>
    <row r="819" ht="12.75" customHeight="1">
      <c r="A819" s="51"/>
      <c r="B819" s="51"/>
      <c r="C819" s="50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</row>
    <row r="820" ht="12.75" customHeight="1">
      <c r="A820" s="51"/>
      <c r="B820" s="51"/>
      <c r="C820" s="50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</row>
    <row r="821" ht="12.75" customHeight="1">
      <c r="A821" s="51"/>
      <c r="B821" s="51"/>
      <c r="C821" s="50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</row>
    <row r="822" ht="12.75" customHeight="1">
      <c r="A822" s="51"/>
      <c r="B822" s="51"/>
      <c r="C822" s="50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</row>
    <row r="823" ht="12.75" customHeight="1">
      <c r="A823" s="51"/>
      <c r="B823" s="51"/>
      <c r="C823" s="50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</row>
    <row r="824" ht="12.75" customHeight="1">
      <c r="A824" s="51"/>
      <c r="B824" s="51"/>
      <c r="C824" s="50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</row>
    <row r="825" ht="12.75" customHeight="1">
      <c r="A825" s="51"/>
      <c r="B825" s="51"/>
      <c r="C825" s="50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</row>
    <row r="826" ht="12.75" customHeight="1">
      <c r="A826" s="51"/>
      <c r="B826" s="51"/>
      <c r="C826" s="50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</row>
    <row r="827" ht="12.75" customHeight="1">
      <c r="A827" s="51"/>
      <c r="B827" s="51"/>
      <c r="C827" s="50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</row>
    <row r="828" ht="12.75" customHeight="1">
      <c r="A828" s="51"/>
      <c r="B828" s="51"/>
      <c r="C828" s="50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</row>
    <row r="829" ht="12.75" customHeight="1">
      <c r="A829" s="51"/>
      <c r="B829" s="51"/>
      <c r="C829" s="50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</row>
    <row r="830" ht="12.75" customHeight="1">
      <c r="A830" s="51"/>
      <c r="B830" s="51"/>
      <c r="C830" s="50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</row>
    <row r="831" ht="12.75" customHeight="1">
      <c r="A831" s="51"/>
      <c r="B831" s="51"/>
      <c r="C831" s="50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</row>
    <row r="832" ht="12.75" customHeight="1">
      <c r="A832" s="51"/>
      <c r="B832" s="51"/>
      <c r="C832" s="50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</row>
    <row r="833" ht="12.75" customHeight="1">
      <c r="A833" s="51"/>
      <c r="B833" s="51"/>
      <c r="C833" s="50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</row>
    <row r="834" ht="12.75" customHeight="1">
      <c r="A834" s="51"/>
      <c r="B834" s="51"/>
      <c r="C834" s="50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</row>
    <row r="835" ht="12.75" customHeight="1">
      <c r="A835" s="51"/>
      <c r="B835" s="51"/>
      <c r="C835" s="50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</row>
    <row r="836" ht="12.75" customHeight="1">
      <c r="A836" s="51"/>
      <c r="B836" s="51"/>
      <c r="C836" s="50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</row>
    <row r="837" ht="12.75" customHeight="1">
      <c r="A837" s="51"/>
      <c r="B837" s="51"/>
      <c r="C837" s="50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</row>
    <row r="838" ht="12.75" customHeight="1">
      <c r="A838" s="51"/>
      <c r="B838" s="51"/>
      <c r="C838" s="50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</row>
    <row r="839" ht="12.75" customHeight="1">
      <c r="A839" s="51"/>
      <c r="B839" s="51"/>
      <c r="C839" s="50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</row>
    <row r="840" ht="12.75" customHeight="1">
      <c r="A840" s="51"/>
      <c r="B840" s="51"/>
      <c r="C840" s="50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</row>
    <row r="841" ht="12.75" customHeight="1">
      <c r="A841" s="51"/>
      <c r="B841" s="51"/>
      <c r="C841" s="50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</row>
    <row r="842" ht="12.75" customHeight="1">
      <c r="A842" s="51"/>
      <c r="B842" s="51"/>
      <c r="C842" s="50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</row>
    <row r="843" ht="12.75" customHeight="1">
      <c r="A843" s="51"/>
      <c r="B843" s="51"/>
      <c r="C843" s="50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</row>
    <row r="844" ht="12.75" customHeight="1">
      <c r="A844" s="51"/>
      <c r="B844" s="51"/>
      <c r="C844" s="50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</row>
    <row r="845" ht="12.75" customHeight="1">
      <c r="A845" s="51"/>
      <c r="B845" s="51"/>
      <c r="C845" s="50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</row>
    <row r="846" ht="12.75" customHeight="1">
      <c r="A846" s="51"/>
      <c r="B846" s="51"/>
      <c r="C846" s="50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</row>
    <row r="847" ht="12.75" customHeight="1">
      <c r="A847" s="51"/>
      <c r="B847" s="51"/>
      <c r="C847" s="50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</row>
    <row r="848" ht="12.75" customHeight="1">
      <c r="A848" s="51"/>
      <c r="B848" s="51"/>
      <c r="C848" s="50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</row>
    <row r="849" ht="12.75" customHeight="1">
      <c r="A849" s="51"/>
      <c r="B849" s="51"/>
      <c r="C849" s="50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</row>
    <row r="850" ht="12.75" customHeight="1">
      <c r="A850" s="51"/>
      <c r="B850" s="51"/>
      <c r="C850" s="50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</row>
    <row r="851" ht="12.75" customHeight="1">
      <c r="A851" s="51"/>
      <c r="B851" s="51"/>
      <c r="C851" s="50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</row>
    <row r="852" ht="12.75" customHeight="1">
      <c r="A852" s="51"/>
      <c r="B852" s="51"/>
      <c r="C852" s="50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</row>
    <row r="853" ht="12.75" customHeight="1">
      <c r="A853" s="51"/>
      <c r="B853" s="51"/>
      <c r="C853" s="50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</row>
    <row r="854" ht="12.75" customHeight="1">
      <c r="A854" s="51"/>
      <c r="B854" s="51"/>
      <c r="C854" s="50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</row>
    <row r="855" ht="12.75" customHeight="1">
      <c r="A855" s="51"/>
      <c r="B855" s="51"/>
      <c r="C855" s="50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</row>
    <row r="856" ht="12.75" customHeight="1">
      <c r="A856" s="51"/>
      <c r="B856" s="51"/>
      <c r="C856" s="50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</row>
    <row r="857" ht="12.75" customHeight="1">
      <c r="A857" s="51"/>
      <c r="B857" s="51"/>
      <c r="C857" s="50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</row>
    <row r="858" ht="12.75" customHeight="1">
      <c r="A858" s="51"/>
      <c r="B858" s="51"/>
      <c r="C858" s="50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</row>
    <row r="859" ht="12.75" customHeight="1">
      <c r="A859" s="51"/>
      <c r="B859" s="51"/>
      <c r="C859" s="50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</row>
    <row r="860" ht="12.75" customHeight="1">
      <c r="A860" s="51"/>
      <c r="B860" s="51"/>
      <c r="C860" s="50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</row>
    <row r="861" ht="12.75" customHeight="1">
      <c r="A861" s="51"/>
      <c r="B861" s="51"/>
      <c r="C861" s="50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</row>
    <row r="862" ht="12.75" customHeight="1">
      <c r="A862" s="51"/>
      <c r="B862" s="51"/>
      <c r="C862" s="50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</row>
    <row r="863" ht="12.75" customHeight="1">
      <c r="A863" s="51"/>
      <c r="B863" s="51"/>
      <c r="C863" s="50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</row>
    <row r="864" ht="12.75" customHeight="1">
      <c r="A864" s="51"/>
      <c r="B864" s="51"/>
      <c r="C864" s="50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</row>
    <row r="865" ht="12.75" customHeight="1">
      <c r="A865" s="51"/>
      <c r="B865" s="51"/>
      <c r="C865" s="50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</row>
    <row r="866" ht="12.75" customHeight="1">
      <c r="A866" s="51"/>
      <c r="B866" s="51"/>
      <c r="C866" s="50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</row>
    <row r="867" ht="12.75" customHeight="1">
      <c r="A867" s="51"/>
      <c r="B867" s="51"/>
      <c r="C867" s="50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</row>
    <row r="868" ht="12.75" customHeight="1">
      <c r="A868" s="51"/>
      <c r="B868" s="51"/>
      <c r="C868" s="50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</row>
    <row r="869" ht="12.75" customHeight="1">
      <c r="A869" s="51"/>
      <c r="B869" s="51"/>
      <c r="C869" s="50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</row>
    <row r="870" ht="12.75" customHeight="1">
      <c r="A870" s="51"/>
      <c r="B870" s="51"/>
      <c r="C870" s="50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</row>
    <row r="871" ht="12.75" customHeight="1">
      <c r="A871" s="51"/>
      <c r="B871" s="51"/>
      <c r="C871" s="50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</row>
    <row r="872" ht="12.75" customHeight="1">
      <c r="A872" s="51"/>
      <c r="B872" s="51"/>
      <c r="C872" s="50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</row>
    <row r="873" ht="12.75" customHeight="1">
      <c r="A873" s="51"/>
      <c r="B873" s="51"/>
      <c r="C873" s="50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</row>
    <row r="874" ht="12.75" customHeight="1">
      <c r="A874" s="51"/>
      <c r="B874" s="51"/>
      <c r="C874" s="50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</row>
    <row r="875" ht="12.75" customHeight="1">
      <c r="A875" s="51"/>
      <c r="B875" s="51"/>
      <c r="C875" s="50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</row>
    <row r="876" ht="12.75" customHeight="1">
      <c r="A876" s="51"/>
      <c r="B876" s="51"/>
      <c r="C876" s="50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</row>
    <row r="877" ht="12.75" customHeight="1">
      <c r="A877" s="51"/>
      <c r="B877" s="51"/>
      <c r="C877" s="50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</row>
    <row r="878" ht="12.75" customHeight="1">
      <c r="A878" s="51"/>
      <c r="B878" s="51"/>
      <c r="C878" s="50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</row>
    <row r="879" ht="12.75" customHeight="1">
      <c r="A879" s="51"/>
      <c r="B879" s="51"/>
      <c r="C879" s="50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</row>
    <row r="880" ht="12.75" customHeight="1">
      <c r="A880" s="51"/>
      <c r="B880" s="51"/>
      <c r="C880" s="50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</row>
    <row r="881" ht="12.75" customHeight="1">
      <c r="A881" s="51"/>
      <c r="B881" s="51"/>
      <c r="C881" s="50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</row>
    <row r="882" ht="12.75" customHeight="1">
      <c r="A882" s="51"/>
      <c r="B882" s="51"/>
      <c r="C882" s="50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</row>
    <row r="883" ht="12.75" customHeight="1">
      <c r="A883" s="51"/>
      <c r="B883" s="51"/>
      <c r="C883" s="50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</row>
    <row r="884" ht="12.75" customHeight="1">
      <c r="A884" s="51"/>
      <c r="B884" s="51"/>
      <c r="C884" s="50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</row>
    <row r="885" ht="12.75" customHeight="1">
      <c r="A885" s="51"/>
      <c r="B885" s="51"/>
      <c r="C885" s="50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</row>
    <row r="886" ht="12.75" customHeight="1">
      <c r="A886" s="51"/>
      <c r="B886" s="51"/>
      <c r="C886" s="50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</row>
    <row r="887" ht="12.75" customHeight="1">
      <c r="A887" s="51"/>
      <c r="B887" s="51"/>
      <c r="C887" s="50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</row>
    <row r="888" ht="12.75" customHeight="1">
      <c r="A888" s="51"/>
      <c r="B888" s="51"/>
      <c r="C888" s="50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</row>
    <row r="889" ht="12.75" customHeight="1">
      <c r="A889" s="51"/>
      <c r="B889" s="51"/>
      <c r="C889" s="50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</row>
    <row r="890" ht="12.75" customHeight="1">
      <c r="A890" s="51"/>
      <c r="B890" s="51"/>
      <c r="C890" s="50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</row>
    <row r="891" ht="12.75" customHeight="1">
      <c r="A891" s="51"/>
      <c r="B891" s="51"/>
      <c r="C891" s="50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</row>
    <row r="892" ht="12.75" customHeight="1">
      <c r="A892" s="51"/>
      <c r="B892" s="51"/>
      <c r="C892" s="50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</row>
    <row r="893" ht="12.75" customHeight="1">
      <c r="A893" s="51"/>
      <c r="B893" s="51"/>
      <c r="C893" s="50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</row>
    <row r="894" ht="12.75" customHeight="1">
      <c r="A894" s="51"/>
      <c r="B894" s="51"/>
      <c r="C894" s="50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</row>
    <row r="895" ht="12.75" customHeight="1">
      <c r="A895" s="51"/>
      <c r="B895" s="51"/>
      <c r="C895" s="50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</row>
    <row r="896" ht="12.75" customHeight="1">
      <c r="A896" s="51"/>
      <c r="B896" s="51"/>
      <c r="C896" s="50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</row>
    <row r="897" ht="12.75" customHeight="1">
      <c r="A897" s="51"/>
      <c r="B897" s="51"/>
      <c r="C897" s="50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</row>
    <row r="898" ht="12.75" customHeight="1">
      <c r="A898" s="51"/>
      <c r="B898" s="51"/>
      <c r="C898" s="50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</row>
    <row r="899" ht="12.75" customHeight="1">
      <c r="A899" s="51"/>
      <c r="B899" s="51"/>
      <c r="C899" s="50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</row>
    <row r="900" ht="12.75" customHeight="1">
      <c r="A900" s="51"/>
      <c r="B900" s="51"/>
      <c r="C900" s="50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</row>
    <row r="901" ht="12.75" customHeight="1">
      <c r="A901" s="51"/>
      <c r="B901" s="51"/>
      <c r="C901" s="50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</row>
    <row r="902" ht="12.75" customHeight="1">
      <c r="A902" s="51"/>
      <c r="B902" s="51"/>
      <c r="C902" s="50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</row>
    <row r="903" ht="12.75" customHeight="1">
      <c r="A903" s="51"/>
      <c r="B903" s="51"/>
      <c r="C903" s="50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</row>
    <row r="904" ht="12.75" customHeight="1">
      <c r="A904" s="51"/>
      <c r="B904" s="51"/>
      <c r="C904" s="50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</row>
    <row r="905" ht="12.75" customHeight="1">
      <c r="A905" s="51"/>
      <c r="B905" s="51"/>
      <c r="C905" s="50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</row>
    <row r="906" ht="12.75" customHeight="1">
      <c r="A906" s="51"/>
      <c r="B906" s="51"/>
      <c r="C906" s="50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</row>
    <row r="907" ht="12.75" customHeight="1">
      <c r="A907" s="51"/>
      <c r="B907" s="51"/>
      <c r="C907" s="50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</row>
    <row r="908" ht="12.75" customHeight="1">
      <c r="A908" s="51"/>
      <c r="B908" s="51"/>
      <c r="C908" s="50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</row>
    <row r="909" ht="12.75" customHeight="1">
      <c r="A909" s="51"/>
      <c r="B909" s="51"/>
      <c r="C909" s="50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</row>
    <row r="910" ht="12.75" customHeight="1">
      <c r="A910" s="51"/>
      <c r="B910" s="51"/>
      <c r="C910" s="50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</row>
    <row r="911" ht="12.75" customHeight="1">
      <c r="A911" s="51"/>
      <c r="B911" s="51"/>
      <c r="C911" s="50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</row>
    <row r="912" ht="12.75" customHeight="1">
      <c r="A912" s="51"/>
      <c r="B912" s="51"/>
      <c r="C912" s="50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</row>
    <row r="913" ht="12.75" customHeight="1">
      <c r="A913" s="51"/>
      <c r="B913" s="51"/>
      <c r="C913" s="50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</row>
    <row r="914" ht="12.75" customHeight="1">
      <c r="A914" s="51"/>
      <c r="B914" s="51"/>
      <c r="C914" s="50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</row>
    <row r="915" ht="12.75" customHeight="1">
      <c r="A915" s="51"/>
      <c r="B915" s="51"/>
      <c r="C915" s="50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</row>
    <row r="916" ht="12.75" customHeight="1">
      <c r="A916" s="51"/>
      <c r="B916" s="51"/>
      <c r="C916" s="50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</row>
    <row r="917" ht="12.75" customHeight="1">
      <c r="A917" s="51"/>
      <c r="B917" s="51"/>
      <c r="C917" s="50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</row>
    <row r="918" ht="12.75" customHeight="1">
      <c r="A918" s="51"/>
      <c r="B918" s="51"/>
      <c r="C918" s="50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</row>
    <row r="919" ht="12.75" customHeight="1">
      <c r="A919" s="51"/>
      <c r="B919" s="51"/>
      <c r="C919" s="50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</row>
    <row r="920" ht="12.75" customHeight="1">
      <c r="A920" s="51"/>
      <c r="B920" s="51"/>
      <c r="C920" s="50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</row>
    <row r="921" ht="12.75" customHeight="1">
      <c r="A921" s="51"/>
      <c r="B921" s="51"/>
      <c r="C921" s="50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</row>
    <row r="922" ht="12.75" customHeight="1">
      <c r="A922" s="51"/>
      <c r="B922" s="51"/>
      <c r="C922" s="50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</row>
    <row r="923" ht="12.75" customHeight="1">
      <c r="A923" s="51"/>
      <c r="B923" s="51"/>
      <c r="C923" s="50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</row>
    <row r="924" ht="12.75" customHeight="1">
      <c r="A924" s="51"/>
      <c r="B924" s="51"/>
      <c r="C924" s="50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</row>
    <row r="925" ht="12.75" customHeight="1">
      <c r="A925" s="51"/>
      <c r="B925" s="51"/>
      <c r="C925" s="50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</row>
    <row r="926" ht="12.75" customHeight="1">
      <c r="A926" s="51"/>
      <c r="B926" s="51"/>
      <c r="C926" s="50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</row>
    <row r="927" ht="12.75" customHeight="1">
      <c r="A927" s="51"/>
      <c r="B927" s="51"/>
      <c r="C927" s="50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</row>
    <row r="928" ht="12.75" customHeight="1">
      <c r="A928" s="51"/>
      <c r="B928" s="51"/>
      <c r="C928" s="50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</row>
    <row r="929" ht="12.75" customHeight="1">
      <c r="A929" s="51"/>
      <c r="B929" s="51"/>
      <c r="C929" s="50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</row>
    <row r="930" ht="12.75" customHeight="1">
      <c r="A930" s="51"/>
      <c r="B930" s="51"/>
      <c r="C930" s="50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</row>
    <row r="931" ht="12.75" customHeight="1">
      <c r="A931" s="51"/>
      <c r="B931" s="51"/>
      <c r="C931" s="50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</row>
    <row r="932" ht="12.75" customHeight="1">
      <c r="A932" s="51"/>
      <c r="B932" s="51"/>
      <c r="C932" s="50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</row>
    <row r="933" ht="12.75" customHeight="1">
      <c r="A933" s="51"/>
      <c r="B933" s="51"/>
      <c r="C933" s="50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</row>
    <row r="934" ht="12.75" customHeight="1">
      <c r="A934" s="51"/>
      <c r="B934" s="51"/>
      <c r="C934" s="50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</row>
    <row r="935" ht="12.75" customHeight="1">
      <c r="A935" s="51"/>
      <c r="B935" s="51"/>
      <c r="C935" s="50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</row>
    <row r="936" ht="12.75" customHeight="1">
      <c r="A936" s="51"/>
      <c r="B936" s="51"/>
      <c r="C936" s="50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</row>
    <row r="937" ht="12.75" customHeight="1">
      <c r="A937" s="51"/>
      <c r="B937" s="51"/>
      <c r="C937" s="50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</row>
    <row r="938" ht="12.75" customHeight="1">
      <c r="A938" s="51"/>
      <c r="B938" s="51"/>
      <c r="C938" s="50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</row>
    <row r="939" ht="12.75" customHeight="1">
      <c r="A939" s="51"/>
      <c r="B939" s="51"/>
      <c r="C939" s="50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</row>
    <row r="940" ht="12.75" customHeight="1">
      <c r="A940" s="51"/>
      <c r="B940" s="51"/>
      <c r="C940" s="50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</row>
    <row r="941" ht="12.75" customHeight="1">
      <c r="A941" s="51"/>
      <c r="B941" s="51"/>
      <c r="C941" s="50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</row>
    <row r="942" ht="12.75" customHeight="1">
      <c r="A942" s="51"/>
      <c r="B942" s="51"/>
      <c r="C942" s="50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</row>
    <row r="943" ht="12.75" customHeight="1">
      <c r="A943" s="51"/>
      <c r="B943" s="51"/>
      <c r="C943" s="50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</row>
    <row r="944" ht="12.75" customHeight="1">
      <c r="A944" s="51"/>
      <c r="B944" s="51"/>
      <c r="C944" s="50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</row>
    <row r="945" ht="12.75" customHeight="1">
      <c r="A945" s="51"/>
      <c r="B945" s="51"/>
      <c r="C945" s="50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</row>
    <row r="946" ht="12.75" customHeight="1">
      <c r="A946" s="51"/>
      <c r="B946" s="51"/>
      <c r="C946" s="50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</row>
    <row r="947" ht="12.75" customHeight="1">
      <c r="A947" s="51"/>
      <c r="B947" s="51"/>
      <c r="C947" s="50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</row>
    <row r="948" ht="12.75" customHeight="1">
      <c r="A948" s="51"/>
      <c r="B948" s="51"/>
      <c r="C948" s="50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</row>
    <row r="949" ht="12.75" customHeight="1">
      <c r="A949" s="51"/>
      <c r="B949" s="51"/>
      <c r="C949" s="50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</row>
    <row r="950" ht="12.75" customHeight="1">
      <c r="A950" s="51"/>
      <c r="B950" s="51"/>
      <c r="C950" s="50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</row>
    <row r="951" ht="12.75" customHeight="1">
      <c r="A951" s="51"/>
      <c r="B951" s="51"/>
      <c r="C951" s="50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</row>
    <row r="952" ht="12.75" customHeight="1">
      <c r="A952" s="51"/>
      <c r="B952" s="51"/>
      <c r="C952" s="50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</row>
    <row r="953" ht="12.75" customHeight="1">
      <c r="A953" s="51"/>
      <c r="B953" s="51"/>
      <c r="C953" s="50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</row>
    <row r="954" ht="12.75" customHeight="1">
      <c r="A954" s="51"/>
      <c r="B954" s="51"/>
      <c r="C954" s="50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</row>
    <row r="955" ht="12.75" customHeight="1">
      <c r="A955" s="51"/>
      <c r="B955" s="51"/>
      <c r="C955" s="50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</row>
    <row r="956" ht="12.75" customHeight="1">
      <c r="A956" s="51"/>
      <c r="B956" s="51"/>
      <c r="C956" s="50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</row>
    <row r="957" ht="12.75" customHeight="1">
      <c r="A957" s="51"/>
      <c r="B957" s="51"/>
      <c r="C957" s="50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</row>
    <row r="958" ht="12.75" customHeight="1">
      <c r="A958" s="51"/>
      <c r="B958" s="51"/>
      <c r="C958" s="50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</row>
    <row r="959" ht="12.75" customHeight="1">
      <c r="A959" s="51"/>
      <c r="B959" s="51"/>
      <c r="C959" s="50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</row>
    <row r="960" ht="12.75" customHeight="1">
      <c r="A960" s="51"/>
      <c r="B960" s="51"/>
      <c r="C960" s="50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</row>
    <row r="961" ht="12.75" customHeight="1">
      <c r="A961" s="51"/>
      <c r="B961" s="51"/>
      <c r="C961" s="50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</row>
    <row r="962" ht="12.75" customHeight="1">
      <c r="A962" s="51"/>
      <c r="B962" s="51"/>
      <c r="C962" s="50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</row>
    <row r="963" ht="12.75" customHeight="1">
      <c r="A963" s="51"/>
      <c r="B963" s="51"/>
      <c r="C963" s="50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</row>
    <row r="964" ht="12.75" customHeight="1">
      <c r="A964" s="51"/>
      <c r="B964" s="51"/>
      <c r="C964" s="50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</row>
    <row r="965" ht="12.75" customHeight="1">
      <c r="A965" s="51"/>
      <c r="B965" s="51"/>
      <c r="C965" s="50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</row>
    <row r="966" ht="12.75" customHeight="1">
      <c r="A966" s="51"/>
      <c r="B966" s="51"/>
      <c r="C966" s="50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</row>
    <row r="967" ht="12.75" customHeight="1">
      <c r="A967" s="51"/>
      <c r="B967" s="51"/>
      <c r="C967" s="50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</row>
    <row r="968" ht="12.75" customHeight="1">
      <c r="A968" s="51"/>
      <c r="B968" s="51"/>
      <c r="C968" s="50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</row>
    <row r="969" ht="12.75" customHeight="1">
      <c r="A969" s="51"/>
      <c r="B969" s="51"/>
      <c r="C969" s="50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</row>
    <row r="970" ht="12.75" customHeight="1">
      <c r="A970" s="51"/>
      <c r="B970" s="51"/>
      <c r="C970" s="50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</row>
    <row r="971" ht="12.75" customHeight="1">
      <c r="A971" s="51"/>
      <c r="B971" s="51"/>
      <c r="C971" s="50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</row>
    <row r="972" ht="12.75" customHeight="1">
      <c r="A972" s="51"/>
      <c r="B972" s="51"/>
      <c r="C972" s="50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</row>
    <row r="973" ht="12.75" customHeight="1">
      <c r="A973" s="51"/>
      <c r="B973" s="51"/>
      <c r="C973" s="50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</row>
    <row r="974" ht="12.75" customHeight="1">
      <c r="A974" s="51"/>
      <c r="B974" s="51"/>
      <c r="C974" s="50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</row>
    <row r="975" ht="12.75" customHeight="1">
      <c r="A975" s="51"/>
      <c r="B975" s="51"/>
      <c r="C975" s="50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</row>
    <row r="976" ht="12.75" customHeight="1">
      <c r="A976" s="51"/>
      <c r="B976" s="51"/>
      <c r="C976" s="50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</row>
    <row r="977" ht="12.75" customHeight="1">
      <c r="A977" s="51"/>
      <c r="B977" s="51"/>
      <c r="C977" s="50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</row>
    <row r="978" ht="12.75" customHeight="1">
      <c r="A978" s="51"/>
      <c r="B978" s="51"/>
      <c r="C978" s="50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</row>
    <row r="979" ht="12.75" customHeight="1">
      <c r="A979" s="51"/>
      <c r="B979" s="51"/>
      <c r="C979" s="50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</row>
    <row r="980" ht="12.75" customHeight="1">
      <c r="A980" s="51"/>
      <c r="B980" s="51"/>
      <c r="C980" s="50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</row>
    <row r="981" ht="12.75" customHeight="1">
      <c r="A981" s="51"/>
      <c r="B981" s="51"/>
      <c r="C981" s="50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</row>
    <row r="982" ht="12.75" customHeight="1">
      <c r="A982" s="51"/>
      <c r="B982" s="51"/>
      <c r="C982" s="50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</row>
    <row r="983" ht="12.75" customHeight="1">
      <c r="A983" s="51"/>
      <c r="B983" s="51"/>
      <c r="C983" s="50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</row>
    <row r="984" ht="12.75" customHeight="1">
      <c r="A984" s="51"/>
      <c r="B984" s="51"/>
      <c r="C984" s="50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</row>
    <row r="985" ht="12.75" customHeight="1">
      <c r="A985" s="51"/>
      <c r="B985" s="51"/>
      <c r="C985" s="50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</row>
    <row r="986" ht="12.75" customHeight="1">
      <c r="A986" s="51"/>
      <c r="B986" s="51"/>
      <c r="C986" s="50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</row>
    <row r="987" ht="12.75" customHeight="1">
      <c r="A987" s="51"/>
      <c r="B987" s="51"/>
      <c r="C987" s="50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</row>
    <row r="988" ht="12.75" customHeight="1">
      <c r="A988" s="51"/>
      <c r="B988" s="51"/>
      <c r="C988" s="50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</row>
    <row r="989" ht="12.75" customHeight="1">
      <c r="A989" s="51"/>
      <c r="B989" s="51"/>
      <c r="C989" s="50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</row>
    <row r="990" ht="12.75" customHeight="1">
      <c r="A990" s="51"/>
      <c r="B990" s="51"/>
      <c r="C990" s="50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</row>
    <row r="991" ht="12.75" customHeight="1">
      <c r="A991" s="51"/>
      <c r="B991" s="51"/>
      <c r="C991" s="50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</row>
    <row r="992" ht="12.75" customHeight="1">
      <c r="A992" s="51"/>
      <c r="B992" s="51"/>
      <c r="C992" s="50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</row>
    <row r="993" ht="12.75" customHeight="1">
      <c r="A993" s="51"/>
      <c r="B993" s="51"/>
      <c r="C993" s="50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</row>
    <row r="994" ht="12.75" customHeight="1">
      <c r="A994" s="51"/>
      <c r="B994" s="51"/>
      <c r="C994" s="50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</row>
    <row r="995" ht="12.75" customHeight="1">
      <c r="A995" s="51"/>
      <c r="B995" s="51"/>
      <c r="C995" s="50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</row>
    <row r="996" ht="12.75" customHeight="1">
      <c r="A996" s="51"/>
      <c r="B996" s="51"/>
      <c r="C996" s="50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</row>
    <row r="997" ht="12.75" customHeight="1">
      <c r="A997" s="51"/>
      <c r="B997" s="51"/>
      <c r="C997" s="50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</row>
    <row r="998" ht="12.75" customHeight="1">
      <c r="A998" s="51"/>
      <c r="B998" s="51"/>
      <c r="C998" s="50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</row>
    <row r="999" ht="12.75" customHeight="1">
      <c r="A999" s="51"/>
      <c r="B999" s="51"/>
      <c r="C999" s="50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</row>
    <row r="1000" ht="12.75" customHeight="1">
      <c r="A1000" s="51"/>
      <c r="B1000" s="51"/>
      <c r="C1000" s="50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  <c r="AK1000" s="70"/>
    </row>
  </sheetData>
  <mergeCells count="2">
    <mergeCell ref="C6:P6"/>
    <mergeCell ref="C7:P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14" width="14.71"/>
    <col customWidth="1" min="15" max="16" width="9.14"/>
    <col customWidth="1" min="17" max="17" width="12.43"/>
    <col customWidth="1" min="18" max="18" width="12.0"/>
    <col customWidth="1" min="19" max="19" width="13.0"/>
    <col customWidth="1" min="20" max="34" width="9.14"/>
  </cols>
  <sheetData>
    <row r="1" ht="12.75" customHeight="1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</row>
    <row r="2" ht="12.75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</row>
    <row r="3" ht="12.75" customHeight="1">
      <c r="A3" s="4"/>
      <c r="B3" s="51"/>
      <c r="C3" s="51"/>
      <c r="D3" s="51"/>
      <c r="E3" s="3" t="s">
        <v>0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</row>
    <row r="4" ht="12.75" customHeight="1">
      <c r="A4" s="4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</row>
    <row r="5" ht="12.75" customHeight="1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</row>
    <row r="6" ht="12.75" customHeight="1">
      <c r="A6" s="79" t="s">
        <v>100</v>
      </c>
      <c r="B6" s="8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</row>
    <row r="7" ht="12.75" customHeight="1">
      <c r="A7" s="8" t="s">
        <v>2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</row>
    <row r="8" ht="12.75" customHeight="1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</row>
    <row r="9" ht="12.75" customHeight="1">
      <c r="A9" s="13" t="s">
        <v>4</v>
      </c>
      <c r="B9" s="81" t="s">
        <v>62</v>
      </c>
      <c r="C9" s="81" t="s">
        <v>63</v>
      </c>
      <c r="D9" s="81" t="s">
        <v>64</v>
      </c>
      <c r="E9" s="81" t="s">
        <v>65</v>
      </c>
      <c r="F9" s="81" t="s">
        <v>66</v>
      </c>
      <c r="G9" s="81" t="s">
        <v>67</v>
      </c>
      <c r="H9" s="81" t="s">
        <v>68</v>
      </c>
      <c r="I9" s="81" t="s">
        <v>69</v>
      </c>
      <c r="J9" s="81" t="s">
        <v>70</v>
      </c>
      <c r="K9" s="81" t="s">
        <v>71</v>
      </c>
      <c r="L9" s="81" t="s">
        <v>72</v>
      </c>
      <c r="M9" s="81" t="s">
        <v>73</v>
      </c>
      <c r="N9" s="81" t="s">
        <v>74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</row>
    <row r="10" ht="12.75" customHeight="1">
      <c r="A10" s="83" t="s">
        <v>101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</row>
    <row r="11" ht="12.75" customHeight="1">
      <c r="A11" s="25" t="s">
        <v>75</v>
      </c>
      <c r="B11" s="31">
        <v>39216.378385684075</v>
      </c>
      <c r="C11" s="31">
        <v>48052.27290362389</v>
      </c>
      <c r="D11" s="31">
        <v>42815.80045826938</v>
      </c>
      <c r="E11" s="31">
        <v>45571.30988775144</v>
      </c>
      <c r="F11" s="31">
        <v>39024.211768270514</v>
      </c>
      <c r="G11" s="31">
        <v>32786.01904088554</v>
      </c>
      <c r="H11" s="31">
        <v>32407.055503092164</v>
      </c>
      <c r="I11" s="31">
        <v>31642.854285152727</v>
      </c>
      <c r="J11" s="31">
        <v>29280.44980600694</v>
      </c>
      <c r="K11" s="31">
        <v>24202.80091502262</v>
      </c>
      <c r="L11" s="31">
        <v>22542.044233936973</v>
      </c>
      <c r="M11" s="31">
        <v>29037.647861886184</v>
      </c>
      <c r="N11" s="25">
        <f>SUM(B11:M11)</f>
        <v>416578.845</v>
      </c>
      <c r="O11" s="8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</row>
    <row r="12" ht="12.75" customHeight="1">
      <c r="A12" s="87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ht="12.75" customHeight="1">
      <c r="A13" s="33" t="s">
        <v>31</v>
      </c>
      <c r="B13" s="31">
        <v>2224.846872867471</v>
      </c>
      <c r="C13" s="31">
        <v>2648.9057153069566</v>
      </c>
      <c r="D13" s="31">
        <v>1994.1906503208577</v>
      </c>
      <c r="E13" s="31">
        <v>2098.145984440929</v>
      </c>
      <c r="F13" s="31">
        <v>2897.731913795264</v>
      </c>
      <c r="G13" s="31">
        <v>1645.2497887645723</v>
      </c>
      <c r="H13" s="31">
        <v>1874.3300030704345</v>
      </c>
      <c r="I13" s="31">
        <v>2193.546323514095</v>
      </c>
      <c r="J13" s="31">
        <v>2646.8161183137895</v>
      </c>
      <c r="K13" s="31">
        <v>2239.9267481508664</v>
      </c>
      <c r="L13" s="31">
        <v>1602.58416716509</v>
      </c>
      <c r="M13" s="31">
        <v>1711.5651991</v>
      </c>
      <c r="N13" s="25">
        <f t="shared" ref="N13:N22" si="1">SUM(B13:M13)</f>
        <v>25777.83948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ht="12.75" customHeight="1">
      <c r="A14" s="33" t="s">
        <v>32</v>
      </c>
      <c r="B14" s="31">
        <v>517.3976756691425</v>
      </c>
      <c r="C14" s="31">
        <v>745.55</v>
      </c>
      <c r="D14" s="31">
        <v>840.8300914480001</v>
      </c>
      <c r="E14" s="31">
        <v>568.3200118016969</v>
      </c>
      <c r="F14" s="31">
        <v>134.45</v>
      </c>
      <c r="G14" s="31">
        <v>196.498981121</v>
      </c>
      <c r="H14" s="31">
        <v>523.8987654930697</v>
      </c>
      <c r="I14" s="31">
        <v>119.262844685</v>
      </c>
      <c r="J14" s="31">
        <v>324.3485999421612</v>
      </c>
      <c r="K14" s="31">
        <v>172.182003108</v>
      </c>
      <c r="L14" s="31">
        <v>0.0</v>
      </c>
      <c r="M14" s="31">
        <v>64.703836551</v>
      </c>
      <c r="N14" s="25">
        <f t="shared" si="1"/>
        <v>4207.44281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ht="12.75" customHeight="1">
      <c r="A15" s="33" t="s">
        <v>33</v>
      </c>
      <c r="B15" s="31">
        <v>519.1714118797909</v>
      </c>
      <c r="C15" s="31">
        <v>1393.489937575257</v>
      </c>
      <c r="D15" s="31">
        <v>1323.6603175723283</v>
      </c>
      <c r="E15" s="31">
        <v>1288.5584179906436</v>
      </c>
      <c r="F15" s="31">
        <v>956.9980370971975</v>
      </c>
      <c r="G15" s="31">
        <v>548.8149070490001</v>
      </c>
      <c r="H15" s="31">
        <v>758.7759240063593</v>
      </c>
      <c r="I15" s="31">
        <v>392.030923212</v>
      </c>
      <c r="J15" s="31">
        <v>653.2559302</v>
      </c>
      <c r="K15" s="31">
        <v>652.0150302119999</v>
      </c>
      <c r="L15" s="31">
        <v>496.647669093</v>
      </c>
      <c r="M15" s="31">
        <v>597.1845876340001</v>
      </c>
      <c r="N15" s="25">
        <f t="shared" si="1"/>
        <v>9580.603094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ht="12.75" customHeight="1">
      <c r="A16" s="33" t="s">
        <v>34</v>
      </c>
      <c r="B16" s="31">
        <v>74.7845988</v>
      </c>
      <c r="C16" s="31">
        <v>24.6087835</v>
      </c>
      <c r="D16" s="31">
        <v>143.07363067400001</v>
      </c>
      <c r="E16" s="31">
        <v>102.7865555</v>
      </c>
      <c r="F16" s="31">
        <v>69.8263799</v>
      </c>
      <c r="G16" s="31">
        <v>70.7925133</v>
      </c>
      <c r="H16" s="31">
        <v>71.4822822</v>
      </c>
      <c r="I16" s="31">
        <v>93.0788817</v>
      </c>
      <c r="J16" s="31">
        <v>76.0244042</v>
      </c>
      <c r="K16" s="31">
        <v>15.2174965</v>
      </c>
      <c r="L16" s="31">
        <v>48.0581906</v>
      </c>
      <c r="M16" s="31">
        <v>99.070778</v>
      </c>
      <c r="N16" s="25">
        <f t="shared" si="1"/>
        <v>888.8044949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ht="12.75" customHeight="1">
      <c r="A17" s="33" t="s">
        <v>35</v>
      </c>
      <c r="B17" s="31">
        <v>131.84443909240588</v>
      </c>
      <c r="C17" s="31">
        <v>0.0</v>
      </c>
      <c r="D17" s="31">
        <v>26.276287235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25">
        <f t="shared" si="1"/>
        <v>158.1207263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ht="12.75" customHeight="1">
      <c r="A18" s="33" t="s">
        <v>36</v>
      </c>
      <c r="B18" s="31">
        <v>6.5849442</v>
      </c>
      <c r="C18" s="31">
        <v>2.3142457</v>
      </c>
      <c r="D18" s="31">
        <v>144.6880815</v>
      </c>
      <c r="E18" s="31">
        <v>11.2246</v>
      </c>
      <c r="F18" s="31">
        <v>2.7867064</v>
      </c>
      <c r="G18" s="31">
        <v>3.8881933</v>
      </c>
      <c r="H18" s="31">
        <v>26.5057434</v>
      </c>
      <c r="I18" s="31">
        <v>43.1633448</v>
      </c>
      <c r="J18" s="31">
        <v>40.7423421</v>
      </c>
      <c r="K18" s="31">
        <v>10.2735357</v>
      </c>
      <c r="L18" s="31">
        <v>162.7280712</v>
      </c>
      <c r="M18" s="31">
        <v>150.29456949999997</v>
      </c>
      <c r="N18" s="25">
        <f t="shared" si="1"/>
        <v>605.1943778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ht="12.75" customHeight="1">
      <c r="A19" s="33" t="s">
        <v>37</v>
      </c>
      <c r="B19" s="31">
        <v>928.4469524</v>
      </c>
      <c r="C19" s="31">
        <v>715.3949499</v>
      </c>
      <c r="D19" s="31">
        <v>916.1261684</v>
      </c>
      <c r="E19" s="31">
        <v>875.8851705999999</v>
      </c>
      <c r="F19" s="31">
        <v>787.4705497</v>
      </c>
      <c r="G19" s="31">
        <v>876.1655528</v>
      </c>
      <c r="H19" s="31">
        <v>658.3213527</v>
      </c>
      <c r="I19" s="31">
        <v>844.9431687</v>
      </c>
      <c r="J19" s="31">
        <v>791.746232652</v>
      </c>
      <c r="K19" s="31">
        <v>780.647792748</v>
      </c>
      <c r="L19" s="31">
        <v>596.3385675000001</v>
      </c>
      <c r="M19" s="31">
        <v>706.194274395</v>
      </c>
      <c r="N19" s="25">
        <f t="shared" si="1"/>
        <v>9477.680732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ht="12.75" customHeight="1">
      <c r="A20" s="33" t="s">
        <v>38</v>
      </c>
      <c r="B20" s="31">
        <v>94.8535792</v>
      </c>
      <c r="C20" s="31">
        <v>138.564294487</v>
      </c>
      <c r="D20" s="31">
        <v>693.1726899658713</v>
      </c>
      <c r="E20" s="31">
        <v>121.960919422</v>
      </c>
      <c r="F20" s="31">
        <v>125.5775578</v>
      </c>
      <c r="G20" s="31">
        <v>235.5269034736271</v>
      </c>
      <c r="H20" s="31">
        <v>180.59073137579733</v>
      </c>
      <c r="I20" s="31">
        <v>115.6988722</v>
      </c>
      <c r="J20" s="31">
        <v>100.188283248</v>
      </c>
      <c r="K20" s="31">
        <v>378.68151000202494</v>
      </c>
      <c r="L20" s="31">
        <v>48.5277993</v>
      </c>
      <c r="M20" s="31">
        <v>146.2686448</v>
      </c>
      <c r="N20" s="25">
        <f t="shared" si="1"/>
        <v>2379.611785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ht="12.75" customHeight="1">
      <c r="A21" s="33" t="s">
        <v>39</v>
      </c>
      <c r="B21" s="31">
        <v>211.0528261</v>
      </c>
      <c r="C21" s="31">
        <v>224.0913616</v>
      </c>
      <c r="D21" s="31">
        <v>198.5937949</v>
      </c>
      <c r="E21" s="31">
        <v>120.6822033</v>
      </c>
      <c r="F21" s="31">
        <v>89.4538749</v>
      </c>
      <c r="G21" s="31">
        <v>82.9934767</v>
      </c>
      <c r="H21" s="31">
        <v>206.7786638</v>
      </c>
      <c r="I21" s="31">
        <v>149.8646874</v>
      </c>
      <c r="J21" s="31">
        <v>191.0395747</v>
      </c>
      <c r="K21" s="31">
        <v>118.35221</v>
      </c>
      <c r="L21" s="31">
        <v>81.4924401</v>
      </c>
      <c r="M21" s="31">
        <v>157.1283399</v>
      </c>
      <c r="N21" s="25">
        <f t="shared" si="1"/>
        <v>1831.523453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ht="12.75" customHeight="1">
      <c r="A22" s="33" t="s">
        <v>102</v>
      </c>
      <c r="B22" s="31">
        <v>781.0420974768695</v>
      </c>
      <c r="C22" s="31">
        <v>922.6209340000005</v>
      </c>
      <c r="D22" s="31">
        <v>903.7190351729096</v>
      </c>
      <c r="E22" s="31">
        <v>928.0591220269998</v>
      </c>
      <c r="F22" s="31">
        <v>1020.2691618999997</v>
      </c>
      <c r="G22" s="31">
        <v>1066.66600217</v>
      </c>
      <c r="H22" s="31">
        <v>997.1994742008155</v>
      </c>
      <c r="I22" s="31">
        <v>778.3873178000013</v>
      </c>
      <c r="J22" s="31">
        <v>703.7027554000006</v>
      </c>
      <c r="K22" s="31">
        <v>881.238960153999</v>
      </c>
      <c r="L22" s="31">
        <v>794.8445327000004</v>
      </c>
      <c r="M22" s="31">
        <v>676.4535262000004</v>
      </c>
      <c r="N22" s="25">
        <f t="shared" si="1"/>
        <v>10454.20292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ht="12.75" customHeight="1">
      <c r="A23" s="88" t="s">
        <v>103</v>
      </c>
      <c r="B23" s="63">
        <f t="shared" ref="B23:N23" si="2">SUM(B13:B22)</f>
        <v>5490.025398</v>
      </c>
      <c r="C23" s="63">
        <f t="shared" si="2"/>
        <v>6815.540222</v>
      </c>
      <c r="D23" s="63">
        <f t="shared" si="2"/>
        <v>7184.330747</v>
      </c>
      <c r="E23" s="63">
        <f t="shared" si="2"/>
        <v>6115.622985</v>
      </c>
      <c r="F23" s="63">
        <f t="shared" si="2"/>
        <v>6084.564181</v>
      </c>
      <c r="G23" s="63">
        <f t="shared" si="2"/>
        <v>4726.596319</v>
      </c>
      <c r="H23" s="63">
        <f t="shared" si="2"/>
        <v>5297.88294</v>
      </c>
      <c r="I23" s="63">
        <f t="shared" si="2"/>
        <v>4729.976364</v>
      </c>
      <c r="J23" s="63">
        <f t="shared" si="2"/>
        <v>5527.864241</v>
      </c>
      <c r="K23" s="63">
        <f t="shared" si="2"/>
        <v>5248.535287</v>
      </c>
      <c r="L23" s="63">
        <f t="shared" si="2"/>
        <v>3831.221438</v>
      </c>
      <c r="M23" s="63">
        <f t="shared" si="2"/>
        <v>4308.863756</v>
      </c>
      <c r="N23" s="63">
        <f t="shared" si="2"/>
        <v>65361.02388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ht="12.75" customHeight="1">
      <c r="A24" s="89" t="s">
        <v>80</v>
      </c>
      <c r="B24" s="63">
        <f t="shared" ref="B24:F24" si="3">+B23+B11</f>
        <v>44706.40378</v>
      </c>
      <c r="C24" s="63">
        <f t="shared" si="3"/>
        <v>54867.81313</v>
      </c>
      <c r="D24" s="63">
        <f t="shared" si="3"/>
        <v>50000.13121</v>
      </c>
      <c r="E24" s="63">
        <f t="shared" si="3"/>
        <v>51686.93287</v>
      </c>
      <c r="F24" s="63">
        <f t="shared" si="3"/>
        <v>45108.77595</v>
      </c>
      <c r="G24" s="63">
        <f t="shared" ref="G24:N24" si="4">+G11+G23</f>
        <v>37512.61536</v>
      </c>
      <c r="H24" s="63">
        <f t="shared" si="4"/>
        <v>37704.93844</v>
      </c>
      <c r="I24" s="63">
        <f t="shared" si="4"/>
        <v>36372.83065</v>
      </c>
      <c r="J24" s="63">
        <f t="shared" si="4"/>
        <v>34808.31405</v>
      </c>
      <c r="K24" s="63">
        <f t="shared" si="4"/>
        <v>29451.3362</v>
      </c>
      <c r="L24" s="63">
        <f t="shared" si="4"/>
        <v>26373.26567</v>
      </c>
      <c r="M24" s="63">
        <f t="shared" si="4"/>
        <v>33346.51162</v>
      </c>
      <c r="N24" s="63">
        <f t="shared" si="4"/>
        <v>481939.8689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ht="12.75" customHeight="1">
      <c r="A25" s="87" t="s">
        <v>104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ht="12.75" customHeight="1">
      <c r="A26" s="87" t="s">
        <v>105</v>
      </c>
      <c r="B26" s="31">
        <v>102.41</v>
      </c>
      <c r="C26" s="31">
        <v>81.88</v>
      </c>
      <c r="D26" s="31">
        <v>88.48</v>
      </c>
      <c r="E26" s="31">
        <v>90.65</v>
      </c>
      <c r="F26" s="31">
        <v>76.51</v>
      </c>
      <c r="G26" s="31">
        <v>48.99</v>
      </c>
      <c r="H26" s="31">
        <v>22.56</v>
      </c>
      <c r="I26" s="31">
        <v>18.74</v>
      </c>
      <c r="J26" s="31">
        <v>30.87</v>
      </c>
      <c r="K26" s="31">
        <v>53.32</v>
      </c>
      <c r="L26" s="31">
        <v>65.73</v>
      </c>
      <c r="M26" s="31">
        <v>104.81</v>
      </c>
      <c r="N26" s="25">
        <f t="shared" ref="N26:N36" si="5">SUM(B26:M26)</f>
        <v>784.95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ht="12.75" customHeight="1">
      <c r="A27" s="33" t="s">
        <v>81</v>
      </c>
      <c r="B27" s="31">
        <v>3796.9353954549997</v>
      </c>
      <c r="C27" s="31">
        <v>6089.451913532001</v>
      </c>
      <c r="D27" s="31">
        <v>6006.925365673729</v>
      </c>
      <c r="E27" s="31">
        <v>5756.217874280269</v>
      </c>
      <c r="F27" s="31">
        <v>5383.728797535001</v>
      </c>
      <c r="G27" s="31">
        <v>4909.949351097</v>
      </c>
      <c r="H27" s="31">
        <v>5239.8644334909995</v>
      </c>
      <c r="I27" s="31">
        <v>4639.512035121387</v>
      </c>
      <c r="J27" s="31">
        <v>4768.131955956612</v>
      </c>
      <c r="K27" s="31">
        <v>4309.333180052</v>
      </c>
      <c r="L27" s="31">
        <v>4116.072042111</v>
      </c>
      <c r="M27" s="31">
        <v>4559.269284162</v>
      </c>
      <c r="N27" s="25">
        <f t="shared" si="5"/>
        <v>59575.39163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ht="12.75" customHeight="1">
      <c r="A28" s="33" t="s">
        <v>33</v>
      </c>
      <c r="B28" s="31">
        <v>1929.8844972366019</v>
      </c>
      <c r="C28" s="31">
        <v>1763.0769001467013</v>
      </c>
      <c r="D28" s="31">
        <v>2123.1475973263455</v>
      </c>
      <c r="E28" s="31">
        <v>2080.5417061821763</v>
      </c>
      <c r="F28" s="31">
        <v>1805.9651435132714</v>
      </c>
      <c r="G28" s="31">
        <v>1530.700834908541</v>
      </c>
      <c r="H28" s="31">
        <v>1032.4707912164563</v>
      </c>
      <c r="I28" s="31">
        <v>1592.300786266326</v>
      </c>
      <c r="J28" s="31">
        <v>1897.0071591313797</v>
      </c>
      <c r="K28" s="31">
        <v>1297.5966501603</v>
      </c>
      <c r="L28" s="31">
        <v>1492.5716580730934</v>
      </c>
      <c r="M28" s="31">
        <v>1511.2466013806518</v>
      </c>
      <c r="N28" s="25">
        <f t="shared" si="5"/>
        <v>20056.51033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ht="12.75" customHeight="1">
      <c r="A29" s="90" t="s">
        <v>83</v>
      </c>
      <c r="B29" s="31">
        <v>549.53380272</v>
      </c>
      <c r="C29" s="31">
        <v>992.80158252</v>
      </c>
      <c r="D29" s="31">
        <v>1425.1324908400002</v>
      </c>
      <c r="E29" s="31">
        <v>1617.9188739585923</v>
      </c>
      <c r="F29" s="31">
        <v>1712.2396360474077</v>
      </c>
      <c r="G29" s="31">
        <v>2011.408910342</v>
      </c>
      <c r="H29" s="31">
        <v>908.412967802</v>
      </c>
      <c r="I29" s="31">
        <v>1386.600389086</v>
      </c>
      <c r="J29" s="31">
        <v>962.7182489730001</v>
      </c>
      <c r="K29" s="31">
        <v>1399.8028922910003</v>
      </c>
      <c r="L29" s="31">
        <v>1276.9258890140002</v>
      </c>
      <c r="M29" s="31">
        <v>1763.585652194</v>
      </c>
      <c r="N29" s="25">
        <f t="shared" si="5"/>
        <v>16007.08134</v>
      </c>
      <c r="O29" s="9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ht="12.75" customHeight="1">
      <c r="A30" s="90" t="s">
        <v>35</v>
      </c>
      <c r="B30" s="31">
        <v>3.83</v>
      </c>
      <c r="C30" s="31">
        <v>4.3</v>
      </c>
      <c r="D30" s="31">
        <v>4.75</v>
      </c>
      <c r="E30" s="31">
        <v>4.49</v>
      </c>
      <c r="F30" s="31">
        <v>2.72</v>
      </c>
      <c r="G30" s="31">
        <v>1.87</v>
      </c>
      <c r="H30" s="31">
        <v>1.11</v>
      </c>
      <c r="I30" s="31">
        <v>0.73</v>
      </c>
      <c r="J30" s="31">
        <v>2.39</v>
      </c>
      <c r="K30" s="31">
        <v>3.09</v>
      </c>
      <c r="L30" s="31">
        <v>2.42</v>
      </c>
      <c r="M30" s="31">
        <v>3.61</v>
      </c>
      <c r="N30" s="25">
        <f t="shared" si="5"/>
        <v>35.31</v>
      </c>
      <c r="O30" s="9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ht="12.75" customHeight="1">
      <c r="A31" s="90" t="s">
        <v>36</v>
      </c>
      <c r="B31" s="31">
        <v>4851.8690817140005</v>
      </c>
      <c r="C31" s="31">
        <v>5700.238522977</v>
      </c>
      <c r="D31" s="31">
        <v>6543.618485105271</v>
      </c>
      <c r="E31" s="31">
        <v>6723.889667826139</v>
      </c>
      <c r="F31" s="31">
        <v>6758.9779884975915</v>
      </c>
      <c r="G31" s="31">
        <v>6268.74646149</v>
      </c>
      <c r="H31" s="31">
        <v>5217.788910396999</v>
      </c>
      <c r="I31" s="31">
        <v>6451.722292963614</v>
      </c>
      <c r="J31" s="31">
        <v>4146.221224723387</v>
      </c>
      <c r="K31" s="31">
        <v>4357.5339107</v>
      </c>
      <c r="L31" s="31">
        <v>4693.4819087141</v>
      </c>
      <c r="M31" s="31">
        <v>4778.232978879</v>
      </c>
      <c r="N31" s="25">
        <f t="shared" si="5"/>
        <v>66492.32143</v>
      </c>
      <c r="O31" s="9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ht="12.75" customHeight="1">
      <c r="A32" s="90" t="s">
        <v>46</v>
      </c>
      <c r="B32" s="31">
        <v>0.0</v>
      </c>
      <c r="C32" s="31">
        <v>0.0</v>
      </c>
      <c r="D32" s="31">
        <v>0.0</v>
      </c>
      <c r="E32" s="31">
        <v>0.0</v>
      </c>
      <c r="F32" s="31">
        <v>0.0</v>
      </c>
      <c r="G32" s="31">
        <v>0.0</v>
      </c>
      <c r="H32" s="31">
        <v>0.0</v>
      </c>
      <c r="I32" s="31">
        <v>0.0</v>
      </c>
      <c r="J32" s="31">
        <v>0.0</v>
      </c>
      <c r="K32" s="31">
        <v>0.0</v>
      </c>
      <c r="L32" s="31">
        <v>0.0</v>
      </c>
      <c r="M32" s="31">
        <v>0.0</v>
      </c>
      <c r="N32" s="25">
        <f t="shared" si="5"/>
        <v>0</v>
      </c>
      <c r="O32" s="9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ht="12.75" customHeight="1">
      <c r="A33" s="90" t="s">
        <v>47</v>
      </c>
      <c r="B33" s="31">
        <v>20.34968482</v>
      </c>
      <c r="C33" s="31">
        <v>7.276321619</v>
      </c>
      <c r="D33" s="31">
        <v>19.447322173999996</v>
      </c>
      <c r="E33" s="31">
        <v>8.648310365</v>
      </c>
      <c r="F33" s="31">
        <v>7.029749735999999</v>
      </c>
      <c r="G33" s="31">
        <v>4.136910366</v>
      </c>
      <c r="H33" s="31">
        <v>6.895735143</v>
      </c>
      <c r="I33" s="31">
        <v>4.199001000000001</v>
      </c>
      <c r="J33" s="31">
        <v>17.546597151</v>
      </c>
      <c r="K33" s="31">
        <v>8.522848265423331</v>
      </c>
      <c r="L33" s="31">
        <v>8.545576552</v>
      </c>
      <c r="M33" s="31">
        <v>14.491929072</v>
      </c>
      <c r="N33" s="25">
        <f t="shared" si="5"/>
        <v>127.0899863</v>
      </c>
      <c r="O33" s="9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2.75" customHeight="1">
      <c r="A34" s="90" t="s">
        <v>38</v>
      </c>
      <c r="B34" s="31">
        <v>726.7642320959867</v>
      </c>
      <c r="C34" s="31">
        <v>1130.9194370031328</v>
      </c>
      <c r="D34" s="31">
        <v>280.15539042817227</v>
      </c>
      <c r="E34" s="31">
        <v>295.98169600188044</v>
      </c>
      <c r="F34" s="31">
        <v>421.275718602502</v>
      </c>
      <c r="G34" s="31">
        <v>404.57193209999997</v>
      </c>
      <c r="H34" s="31">
        <v>191.45666048041576</v>
      </c>
      <c r="I34" s="31">
        <v>270.083600175</v>
      </c>
      <c r="J34" s="31">
        <v>226.90799166256</v>
      </c>
      <c r="K34" s="31">
        <v>155.1334</v>
      </c>
      <c r="L34" s="31">
        <v>232.5831176</v>
      </c>
      <c r="M34" s="31">
        <v>135.1535007</v>
      </c>
      <c r="N34" s="25">
        <f t="shared" si="5"/>
        <v>4470.986677</v>
      </c>
      <c r="O34" s="9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ht="12.75" customHeight="1">
      <c r="A35" s="90" t="s">
        <v>39</v>
      </c>
      <c r="B35" s="31">
        <v>13.807772181</v>
      </c>
      <c r="C35" s="31">
        <v>21.509355721</v>
      </c>
      <c r="D35" s="31">
        <v>16.928410317</v>
      </c>
      <c r="E35" s="31">
        <v>7.90538223</v>
      </c>
      <c r="F35" s="31">
        <v>28.833376400000002</v>
      </c>
      <c r="G35" s="31">
        <v>16.124203694</v>
      </c>
      <c r="H35" s="31">
        <v>28.277082636</v>
      </c>
      <c r="I35" s="31">
        <v>5.6408888</v>
      </c>
      <c r="J35" s="31">
        <v>11.507252988000001</v>
      </c>
      <c r="K35" s="31">
        <v>11.756750117</v>
      </c>
      <c r="L35" s="31">
        <v>5.5354611</v>
      </c>
      <c r="M35" s="31">
        <v>8.370969432</v>
      </c>
      <c r="N35" s="25">
        <f t="shared" si="5"/>
        <v>176.1969056</v>
      </c>
      <c r="O35" s="9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ht="12.75" customHeight="1">
      <c r="A36" s="31" t="s">
        <v>106</v>
      </c>
      <c r="B36" s="31">
        <v>802.5609678105848</v>
      </c>
      <c r="C36" s="31">
        <v>1214.1439840800977</v>
      </c>
      <c r="D36" s="31">
        <v>995.1444572859982</v>
      </c>
      <c r="E36" s="31">
        <v>844.0592982319977</v>
      </c>
      <c r="F36" s="31">
        <v>892.3261545840032</v>
      </c>
      <c r="G36" s="31">
        <v>700.8092924919965</v>
      </c>
      <c r="H36" s="31">
        <v>706.2488609223183</v>
      </c>
      <c r="I36" s="31">
        <v>788.9838867389972</v>
      </c>
      <c r="J36" s="31">
        <v>539.809777841001</v>
      </c>
      <c r="K36" s="31">
        <v>546.3011290647792</v>
      </c>
      <c r="L36" s="31">
        <v>546.7688304260009</v>
      </c>
      <c r="M36" s="31">
        <v>476.58630470000026</v>
      </c>
      <c r="N36" s="25">
        <f t="shared" si="5"/>
        <v>9053.742944</v>
      </c>
      <c r="O36" s="9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ht="12.75" customHeight="1">
      <c r="A37" s="89" t="s">
        <v>107</v>
      </c>
      <c r="B37" s="63">
        <f t="shared" ref="B37:N37" si="6">SUM(B26:B36)</f>
        <v>12797.94543</v>
      </c>
      <c r="C37" s="63">
        <f t="shared" si="6"/>
        <v>17005.59802</v>
      </c>
      <c r="D37" s="63">
        <f t="shared" si="6"/>
        <v>17503.72952</v>
      </c>
      <c r="E37" s="63">
        <f t="shared" si="6"/>
        <v>17430.30281</v>
      </c>
      <c r="F37" s="63">
        <f t="shared" si="6"/>
        <v>17089.60656</v>
      </c>
      <c r="G37" s="63">
        <f t="shared" si="6"/>
        <v>15897.3079</v>
      </c>
      <c r="H37" s="63">
        <f t="shared" si="6"/>
        <v>13355.08544</v>
      </c>
      <c r="I37" s="63">
        <f t="shared" si="6"/>
        <v>15158.51288</v>
      </c>
      <c r="J37" s="63">
        <f t="shared" si="6"/>
        <v>12603.11021</v>
      </c>
      <c r="K37" s="63">
        <f t="shared" si="6"/>
        <v>12142.39076</v>
      </c>
      <c r="L37" s="63">
        <f t="shared" si="6"/>
        <v>12440.63448</v>
      </c>
      <c r="M37" s="63">
        <f t="shared" si="6"/>
        <v>13355.35722</v>
      </c>
      <c r="N37" s="63">
        <f t="shared" si="6"/>
        <v>176779.5812</v>
      </c>
      <c r="O37" s="9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ht="12.75" customHeight="1">
      <c r="A38" s="89" t="s">
        <v>50</v>
      </c>
      <c r="B38" s="63">
        <f t="shared" ref="B38:N38" si="7">+B24-B37</f>
        <v>31908.45835</v>
      </c>
      <c r="C38" s="63">
        <f t="shared" si="7"/>
        <v>37862.21511</v>
      </c>
      <c r="D38" s="63">
        <f t="shared" si="7"/>
        <v>32496.40169</v>
      </c>
      <c r="E38" s="63">
        <f t="shared" si="7"/>
        <v>34256.63006</v>
      </c>
      <c r="F38" s="63">
        <f t="shared" si="7"/>
        <v>28019.16938</v>
      </c>
      <c r="G38" s="63">
        <f t="shared" si="7"/>
        <v>21615.30746</v>
      </c>
      <c r="H38" s="63">
        <f t="shared" si="7"/>
        <v>24349.853</v>
      </c>
      <c r="I38" s="63">
        <f t="shared" si="7"/>
        <v>21214.31777</v>
      </c>
      <c r="J38" s="63">
        <f t="shared" si="7"/>
        <v>22205.20384</v>
      </c>
      <c r="K38" s="63">
        <f t="shared" si="7"/>
        <v>17308.94544</v>
      </c>
      <c r="L38" s="63">
        <f t="shared" si="7"/>
        <v>13932.63119</v>
      </c>
      <c r="M38" s="63">
        <f t="shared" si="7"/>
        <v>19991.1544</v>
      </c>
      <c r="N38" s="63">
        <f t="shared" si="7"/>
        <v>305160.2877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ht="12.75" customHeight="1">
      <c r="A39" s="92" t="s">
        <v>52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ht="12.75" customHeight="1">
      <c r="A40" s="44" t="s">
        <v>53</v>
      </c>
      <c r="B40" s="45"/>
      <c r="C40" s="45"/>
      <c r="D40" s="45"/>
      <c r="E40" s="45"/>
      <c r="F40" s="45"/>
      <c r="G40" s="93"/>
      <c r="H40" s="93"/>
      <c r="I40" s="93"/>
      <c r="J40" s="93"/>
      <c r="K40" s="93"/>
      <c r="L40" s="93"/>
      <c r="M40" s="9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12.75" customHeight="1">
      <c r="A41" s="47" t="s">
        <v>54</v>
      </c>
      <c r="B41" s="45"/>
      <c r="C41" s="45"/>
      <c r="D41" s="45"/>
      <c r="E41" s="45"/>
      <c r="F41" s="45"/>
      <c r="G41" s="93"/>
      <c r="H41" s="93"/>
      <c r="I41" s="93"/>
      <c r="J41" s="93"/>
      <c r="K41" s="93"/>
      <c r="L41" s="93"/>
      <c r="M41" s="9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12.75" customHeight="1">
      <c r="A42" s="47" t="s">
        <v>55</v>
      </c>
      <c r="B42" s="45"/>
      <c r="C42" s="45"/>
      <c r="D42" s="45"/>
      <c r="E42" s="45"/>
      <c r="F42" s="45"/>
      <c r="G42" s="93"/>
      <c r="H42" s="93"/>
      <c r="I42" s="93"/>
      <c r="J42" s="93"/>
      <c r="K42" s="93"/>
      <c r="L42" s="93"/>
      <c r="M42" s="9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12.75" customHeight="1">
      <c r="A43" s="47" t="s">
        <v>56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2.75" customHeight="1">
      <c r="A44" s="47" t="s">
        <v>57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12.75" customHeight="1">
      <c r="A45" s="47" t="s">
        <v>58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12.75" customHeight="1">
      <c r="A46" s="47" t="s">
        <v>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1"/>
      <c r="O46" s="51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</row>
    <row r="47" ht="12.75" customHeight="1">
      <c r="A47" s="47" t="s">
        <v>60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51"/>
      <c r="O47" s="51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</row>
    <row r="48" ht="12.75" customHeight="1">
      <c r="A48" s="50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</row>
    <row r="49" ht="12.75" customHeight="1">
      <c r="A49" s="50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</row>
    <row r="50" ht="12.75" customHeight="1">
      <c r="A50" s="50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</row>
    <row r="51" ht="12.75" customHeight="1">
      <c r="A51" s="50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</row>
    <row r="52" ht="12.75" customHeight="1">
      <c r="A52" s="50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ht="12.75" customHeight="1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</row>
    <row r="54" ht="12.75" customHeight="1">
      <c r="A54" s="50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</row>
    <row r="55" ht="12.75" customHeight="1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</row>
    <row r="56" ht="12.75" customHeight="1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</row>
    <row r="57" ht="12.75" customHeight="1">
      <c r="A57" s="50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</row>
    <row r="58" ht="12.75" customHeight="1">
      <c r="A58" s="50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</row>
    <row r="59" ht="12.75" customHeight="1">
      <c r="A59" s="50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</row>
    <row r="60" ht="12.75" customHeight="1">
      <c r="A60" s="50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</row>
    <row r="61" ht="12.75" customHeight="1">
      <c r="A61" s="50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</row>
    <row r="62" ht="12.75" customHeight="1">
      <c r="A62" s="50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</row>
    <row r="63" ht="12.75" customHeight="1">
      <c r="A63" s="50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ht="12.75" customHeight="1">
      <c r="A64" s="50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</row>
    <row r="65" ht="12.75" customHeight="1">
      <c r="A65" s="50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</row>
    <row r="66" ht="12.75" customHeight="1">
      <c r="A66" s="50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</row>
    <row r="67" ht="12.75" customHeight="1">
      <c r="A67" s="50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</row>
    <row r="68" ht="12.75" customHeight="1">
      <c r="A68" s="50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ht="12.75" customHeight="1">
      <c r="A69" s="50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</row>
    <row r="70" ht="12.75" customHeight="1">
      <c r="A70" s="50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</row>
    <row r="71" ht="12.75" customHeight="1">
      <c r="A71" s="50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</row>
    <row r="72" ht="12.75" customHeight="1">
      <c r="A72" s="50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</row>
    <row r="73" ht="12.75" customHeight="1">
      <c r="A73" s="50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</row>
    <row r="74" ht="12.75" customHeight="1">
      <c r="A74" s="50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ht="12.75" customHeight="1">
      <c r="A75" s="50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</row>
    <row r="76" ht="12.75" customHeight="1">
      <c r="A76" s="50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</row>
    <row r="77" ht="12.75" customHeight="1">
      <c r="A77" s="50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</row>
    <row r="78" ht="12.75" customHeight="1">
      <c r="A78" s="50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ht="12.75" customHeight="1">
      <c r="A79" s="50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</row>
    <row r="80" ht="12.75" customHeight="1">
      <c r="A80" s="50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ht="12.75" customHeight="1">
      <c r="A81" s="50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</row>
    <row r="82" ht="12.75" customHeight="1">
      <c r="A82" s="50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</row>
    <row r="83" ht="12.75" customHeight="1">
      <c r="A83" s="50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</row>
    <row r="84" ht="12.75" customHeight="1">
      <c r="A84" s="50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</row>
    <row r="85" ht="12.75" customHeight="1">
      <c r="A85" s="50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</row>
    <row r="86" ht="12.75" customHeight="1">
      <c r="A86" s="50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</row>
    <row r="87" ht="12.75" customHeight="1">
      <c r="A87" s="50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</row>
    <row r="88" ht="12.75" customHeight="1">
      <c r="A88" s="50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</row>
    <row r="89" ht="12.75" customHeight="1">
      <c r="A89" s="50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</row>
    <row r="90" ht="12.75" customHeight="1">
      <c r="A90" s="50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</row>
    <row r="91" ht="12.75" customHeight="1">
      <c r="A91" s="50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</row>
    <row r="92" ht="12.75" customHeight="1">
      <c r="A92" s="50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ht="12.75" customHeight="1">
      <c r="A93" s="50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</row>
    <row r="94" ht="12.75" customHeight="1">
      <c r="A94" s="50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</row>
    <row r="95" ht="12.75" customHeight="1">
      <c r="A95" s="50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</row>
    <row r="96" ht="12.75" customHeight="1">
      <c r="A96" s="50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</row>
    <row r="97" ht="12.75" customHeight="1">
      <c r="A97" s="50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</row>
    <row r="98" ht="12.75" customHeight="1">
      <c r="A98" s="50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</row>
    <row r="99" ht="12.75" customHeight="1">
      <c r="A99" s="50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</row>
    <row r="100" ht="12.75" customHeight="1">
      <c r="A100" s="50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ht="12.75" customHeight="1">
      <c r="A101" s="50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</row>
    <row r="102" ht="12.75" customHeight="1">
      <c r="A102" s="50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ht="12.75" customHeight="1">
      <c r="A103" s="50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</row>
    <row r="104" ht="12.75" customHeight="1">
      <c r="A104" s="50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</row>
    <row r="105" ht="12.75" customHeight="1">
      <c r="A105" s="50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</row>
    <row r="106" ht="12.75" customHeight="1">
      <c r="A106" s="50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ht="12.75" customHeight="1">
      <c r="A107" s="50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</row>
    <row r="108" ht="12.75" customHeight="1">
      <c r="A108" s="50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</row>
    <row r="109" ht="12.75" customHeight="1">
      <c r="A109" s="50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</row>
    <row r="110" ht="12.75" customHeight="1">
      <c r="A110" s="50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</row>
    <row r="111" ht="12.75" customHeight="1">
      <c r="A111" s="50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</row>
    <row r="112" ht="12.75" customHeight="1">
      <c r="A112" s="50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</row>
    <row r="113" ht="12.7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</row>
    <row r="114" ht="12.7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</row>
    <row r="115" ht="12.7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</row>
    <row r="116" ht="12.7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</row>
    <row r="117" ht="12.75" customHeight="1">
      <c r="A117" s="50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</row>
    <row r="118" ht="12.75" customHeight="1">
      <c r="A118" s="50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ht="12.75" customHeight="1">
      <c r="A119" s="50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ht="12.75" customHeight="1">
      <c r="A120" s="50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</row>
    <row r="121" ht="12.7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</row>
    <row r="122" ht="12.7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</row>
    <row r="123" ht="12.7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</row>
    <row r="124" ht="12.7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ht="12.7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</row>
    <row r="126" ht="12.7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</row>
    <row r="127" ht="12.7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</row>
    <row r="128" ht="12.7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</row>
    <row r="129" ht="12.7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</row>
    <row r="130" ht="12.7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ht="12.7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</row>
    <row r="132" ht="12.7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</row>
    <row r="133" ht="12.7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</row>
    <row r="134" ht="12.75" customHeight="1">
      <c r="A134" s="50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</row>
    <row r="135" ht="12.75" customHeight="1">
      <c r="A135" s="50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</row>
    <row r="136" ht="12.75" customHeight="1">
      <c r="A136" s="50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</row>
    <row r="137" ht="12.75" customHeight="1">
      <c r="A137" s="50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</row>
    <row r="138" ht="12.75" customHeight="1">
      <c r="A138" s="50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</row>
    <row r="139" ht="12.75" customHeight="1">
      <c r="A139" s="50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</row>
    <row r="140" ht="12.75" customHeight="1">
      <c r="A140" s="50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</row>
    <row r="141" ht="12.75" customHeight="1">
      <c r="A141" s="50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</row>
    <row r="142" ht="12.75" customHeight="1">
      <c r="A142" s="50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</row>
    <row r="143" ht="12.75" customHeight="1">
      <c r="A143" s="50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</row>
    <row r="144" ht="12.75" customHeight="1">
      <c r="A144" s="50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</row>
    <row r="145" ht="12.7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</row>
    <row r="146" ht="12.7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</row>
    <row r="147" ht="12.7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</row>
    <row r="148" ht="12.7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</row>
    <row r="149" ht="12.7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</row>
    <row r="150" ht="12.7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</row>
    <row r="151" ht="12.7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</row>
    <row r="152" ht="12.7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</row>
    <row r="153" ht="12.7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</row>
    <row r="154" ht="12.7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</row>
    <row r="155" ht="12.7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</row>
    <row r="156" ht="12.7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</row>
    <row r="157" ht="12.7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</row>
    <row r="158" ht="12.7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</row>
    <row r="159" ht="12.7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</row>
    <row r="160" ht="12.7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</row>
    <row r="161" ht="12.7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</row>
    <row r="162" ht="12.7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</row>
    <row r="163" ht="12.7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</row>
    <row r="164" ht="12.7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</row>
    <row r="165" ht="12.7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</row>
    <row r="166" ht="12.7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</row>
    <row r="167" ht="12.7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</row>
    <row r="168" ht="12.75" customHeight="1">
      <c r="A168" s="50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</row>
    <row r="169" ht="12.75" customHeight="1">
      <c r="A169" s="50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</row>
    <row r="170" ht="12.75" customHeight="1">
      <c r="A170" s="50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</row>
    <row r="171" ht="12.75" customHeight="1">
      <c r="A171" s="50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</row>
    <row r="172" ht="12.75" customHeight="1">
      <c r="A172" s="50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</row>
    <row r="173" ht="12.75" customHeight="1">
      <c r="A173" s="50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</row>
    <row r="174" ht="12.75" customHeight="1">
      <c r="A174" s="50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</row>
    <row r="175" ht="12.75" customHeight="1">
      <c r="A175" s="50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</row>
    <row r="176" ht="12.75" customHeight="1">
      <c r="A176" s="50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</row>
    <row r="177" ht="12.75" customHeight="1">
      <c r="A177" s="50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</row>
    <row r="178" ht="12.75" customHeight="1">
      <c r="A178" s="50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</row>
    <row r="179" ht="12.75" customHeight="1">
      <c r="A179" s="50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</row>
    <row r="180" ht="12.7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</row>
    <row r="181" ht="12.7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</row>
    <row r="182" ht="12.7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</row>
    <row r="183" ht="12.7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</row>
    <row r="184" ht="12.7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</row>
    <row r="185" ht="12.7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</row>
    <row r="186" ht="12.7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</row>
    <row r="187" ht="12.7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</row>
    <row r="188" ht="12.75" customHeight="1">
      <c r="A188" s="50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</row>
    <row r="189" ht="12.75" customHeight="1">
      <c r="A189" s="50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</row>
    <row r="190" ht="12.75" customHeight="1">
      <c r="A190" s="50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</row>
    <row r="191" ht="12.75" customHeight="1">
      <c r="A191" s="50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</row>
    <row r="192" ht="12.7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</row>
    <row r="193" ht="12.7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</row>
    <row r="194" ht="12.7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</row>
    <row r="195" ht="12.7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</row>
    <row r="196" ht="12.7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</row>
    <row r="197" ht="12.7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</row>
    <row r="198" ht="12.7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</row>
    <row r="199" ht="12.7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</row>
    <row r="200" ht="12.7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</row>
    <row r="201" ht="12.7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</row>
    <row r="202" ht="12.75" customHeight="1">
      <c r="A202" s="50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</row>
    <row r="203" ht="12.75" customHeight="1">
      <c r="A203" s="50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</row>
    <row r="204" ht="12.75" customHeight="1">
      <c r="A204" s="50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</row>
    <row r="205" ht="12.75" customHeight="1">
      <c r="A205" s="50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</row>
    <row r="206" ht="12.7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</row>
    <row r="207" ht="12.75" customHeight="1">
      <c r="A207" s="50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</row>
    <row r="208" ht="12.75" customHeight="1">
      <c r="A208" s="50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</row>
    <row r="209" ht="12.75" customHeight="1">
      <c r="A209" s="50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</row>
    <row r="210" ht="12.75" customHeight="1">
      <c r="A210" s="50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</row>
    <row r="211" ht="12.75" customHeight="1">
      <c r="A211" s="50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</row>
    <row r="212" ht="12.75" customHeight="1">
      <c r="A212" s="50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</row>
    <row r="213" ht="12.75" customHeight="1">
      <c r="A213" s="50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</row>
    <row r="214" ht="12.75" customHeight="1">
      <c r="A214" s="50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</row>
    <row r="215" ht="12.75" customHeight="1">
      <c r="A215" s="50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</row>
    <row r="216" ht="12.7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</row>
    <row r="217" ht="12.75" customHeight="1">
      <c r="A217" s="50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</row>
    <row r="218" ht="12.75" customHeight="1">
      <c r="A218" s="50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</row>
    <row r="219" ht="12.75" customHeight="1">
      <c r="A219" s="50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</row>
    <row r="220" ht="12.75" customHeight="1">
      <c r="A220" s="50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</row>
    <row r="221" ht="12.75" customHeight="1">
      <c r="A221" s="50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</row>
    <row r="222" ht="12.75" customHeight="1">
      <c r="A222" s="50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</row>
    <row r="223" ht="12.7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</row>
    <row r="224" ht="12.7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</row>
    <row r="225" ht="12.75" customHeight="1">
      <c r="A225" s="50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</row>
    <row r="226" ht="12.75" customHeight="1">
      <c r="A226" s="50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</row>
    <row r="227" ht="12.7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</row>
    <row r="228" ht="12.7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</row>
    <row r="229" ht="12.7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</row>
    <row r="230" ht="12.7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</row>
    <row r="231" ht="12.7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</row>
    <row r="232" ht="12.7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</row>
    <row r="233" ht="12.7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</row>
    <row r="234" ht="12.7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</row>
    <row r="235" ht="12.75" customHeight="1">
      <c r="A235" s="50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</row>
    <row r="236" ht="12.75" customHeight="1">
      <c r="A236" s="50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</row>
    <row r="237" ht="12.75" customHeight="1">
      <c r="A237" s="50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</row>
    <row r="238" ht="12.75" customHeight="1">
      <c r="A238" s="50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</row>
    <row r="239" ht="12.75" customHeight="1">
      <c r="A239" s="50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</row>
    <row r="240" ht="12.75" customHeight="1">
      <c r="A240" s="50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</row>
    <row r="241" ht="12.75" customHeight="1">
      <c r="A241" s="50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</row>
    <row r="242" ht="12.75" customHeight="1">
      <c r="A242" s="50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</row>
    <row r="243" ht="12.75" customHeight="1">
      <c r="A243" s="50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</row>
    <row r="244" ht="12.75" customHeight="1">
      <c r="A244" s="50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</row>
    <row r="245" ht="12.75" customHeight="1">
      <c r="A245" s="50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</row>
    <row r="246" ht="12.75" customHeight="1">
      <c r="A246" s="50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</row>
    <row r="247" ht="12.75" customHeight="1">
      <c r="A247" s="50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</row>
    <row r="248" ht="12.75" customHeight="1">
      <c r="A248" s="50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</row>
    <row r="249" ht="12.75" customHeight="1">
      <c r="A249" s="50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</row>
    <row r="250" ht="12.75" customHeight="1">
      <c r="A250" s="50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</row>
    <row r="251" ht="12.75" customHeight="1">
      <c r="A251" s="50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</row>
    <row r="252" ht="12.75" customHeight="1">
      <c r="A252" s="50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</row>
    <row r="253" ht="12.75" customHeight="1">
      <c r="A253" s="50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</row>
    <row r="254" ht="12.75" customHeight="1">
      <c r="A254" s="50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</row>
    <row r="255" ht="12.75" customHeight="1">
      <c r="A255" s="50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</row>
    <row r="256" ht="12.75" customHeight="1">
      <c r="A256" s="50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</row>
    <row r="257" ht="12.75" customHeight="1">
      <c r="A257" s="50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</row>
    <row r="258" ht="12.75" customHeight="1">
      <c r="A258" s="50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</row>
    <row r="259" ht="12.75" customHeight="1">
      <c r="A259" s="50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</row>
    <row r="260" ht="12.75" customHeight="1">
      <c r="A260" s="50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</row>
    <row r="261" ht="12.75" customHeight="1">
      <c r="A261" s="50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</row>
    <row r="262" ht="12.7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</row>
    <row r="263" ht="12.7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</row>
    <row r="264" ht="12.7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</row>
    <row r="265" ht="12.75" customHeight="1">
      <c r="A265" s="50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</row>
    <row r="266" ht="12.75" customHeight="1">
      <c r="A266" s="50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</row>
    <row r="267" ht="12.75" customHeight="1">
      <c r="A267" s="50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</row>
    <row r="268" ht="12.75" customHeight="1">
      <c r="A268" s="50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</row>
    <row r="269" ht="12.75" customHeight="1">
      <c r="A269" s="50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</row>
    <row r="270" ht="12.75" customHeight="1">
      <c r="A270" s="50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</row>
    <row r="271" ht="12.75" customHeight="1">
      <c r="A271" s="50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</row>
    <row r="272" ht="12.75" customHeight="1">
      <c r="A272" s="50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</row>
    <row r="273" ht="12.75" customHeight="1">
      <c r="A273" s="50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</row>
    <row r="274" ht="12.75" customHeight="1">
      <c r="A274" s="50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</row>
    <row r="275" ht="12.75" customHeight="1">
      <c r="A275" s="50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</row>
    <row r="276" ht="12.75" customHeight="1">
      <c r="A276" s="50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</row>
    <row r="277" ht="12.75" customHeight="1">
      <c r="A277" s="50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</row>
    <row r="278" ht="12.75" customHeight="1">
      <c r="A278" s="50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</row>
    <row r="279" ht="12.75" customHeight="1">
      <c r="A279" s="50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</row>
    <row r="280" ht="12.75" customHeight="1">
      <c r="A280" s="50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</row>
    <row r="281" ht="12.75" customHeight="1">
      <c r="A281" s="50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</row>
    <row r="282" ht="12.75" customHeight="1">
      <c r="A282" s="50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</row>
    <row r="283" ht="12.75" customHeight="1">
      <c r="A283" s="50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</row>
    <row r="284" ht="12.75" customHeight="1">
      <c r="A284" s="50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</row>
    <row r="285" ht="12.75" customHeight="1">
      <c r="A285" s="50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</row>
    <row r="286" ht="12.75" customHeight="1">
      <c r="A286" s="50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</row>
    <row r="287" ht="12.75" customHeight="1">
      <c r="A287" s="50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</row>
    <row r="288" ht="12.75" customHeight="1">
      <c r="A288" s="50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</row>
    <row r="289" ht="12.75" customHeight="1">
      <c r="A289" s="50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</row>
    <row r="290" ht="12.75" customHeight="1">
      <c r="A290" s="50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</row>
    <row r="291" ht="12.75" customHeight="1">
      <c r="A291" s="50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</row>
    <row r="292" ht="12.75" customHeight="1">
      <c r="A292" s="50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</row>
    <row r="293" ht="12.75" customHeight="1">
      <c r="A293" s="50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</row>
    <row r="294" ht="12.75" customHeight="1">
      <c r="A294" s="50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</row>
    <row r="295" ht="12.75" customHeight="1">
      <c r="A295" s="50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</row>
    <row r="296" ht="12.75" customHeight="1">
      <c r="A296" s="50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</row>
    <row r="297" ht="12.75" customHeight="1">
      <c r="A297" s="50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</row>
    <row r="298" ht="12.75" customHeight="1">
      <c r="A298" s="50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</row>
    <row r="299" ht="12.75" customHeight="1">
      <c r="A299" s="50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</row>
    <row r="300" ht="12.75" customHeight="1">
      <c r="A300" s="50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</row>
    <row r="301" ht="12.75" customHeight="1">
      <c r="A301" s="50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</row>
    <row r="302" ht="12.75" customHeight="1">
      <c r="A302" s="50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</row>
    <row r="303" ht="12.75" customHeight="1">
      <c r="A303" s="50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</row>
    <row r="304" ht="12.75" customHeight="1">
      <c r="A304" s="50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</row>
    <row r="305" ht="12.75" customHeight="1">
      <c r="A305" s="50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</row>
    <row r="306" ht="12.75" customHeight="1">
      <c r="A306" s="50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</row>
    <row r="307" ht="12.75" customHeight="1">
      <c r="A307" s="50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</row>
    <row r="308" ht="12.75" customHeight="1">
      <c r="A308" s="50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</row>
    <row r="309" ht="12.75" customHeight="1">
      <c r="A309" s="50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</row>
    <row r="310" ht="12.75" customHeight="1">
      <c r="A310" s="50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</row>
    <row r="311" ht="12.75" customHeight="1">
      <c r="A311" s="50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</row>
    <row r="312" ht="12.75" customHeight="1">
      <c r="A312" s="50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</row>
    <row r="313" ht="12.75" customHeight="1">
      <c r="A313" s="50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</row>
    <row r="314" ht="12.75" customHeight="1">
      <c r="A314" s="50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</row>
    <row r="315" ht="12.75" customHeight="1">
      <c r="A315" s="50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</row>
    <row r="316" ht="12.75" customHeight="1">
      <c r="A316" s="50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</row>
    <row r="317" ht="12.75" customHeight="1">
      <c r="A317" s="50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</row>
    <row r="318" ht="12.75" customHeight="1">
      <c r="A318" s="50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</row>
    <row r="319" ht="12.75" customHeight="1">
      <c r="A319" s="50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</row>
    <row r="320" ht="12.75" customHeight="1">
      <c r="A320" s="50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</row>
    <row r="321" ht="12.75" customHeight="1">
      <c r="A321" s="50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</row>
    <row r="322" ht="12.75" customHeight="1">
      <c r="A322" s="50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</row>
    <row r="323" ht="12.75" customHeight="1">
      <c r="A323" s="50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</row>
    <row r="324" ht="12.75" customHeight="1">
      <c r="A324" s="50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</row>
    <row r="325" ht="12.75" customHeight="1">
      <c r="A325" s="50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</row>
    <row r="326" ht="12.75" customHeight="1">
      <c r="A326" s="50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</row>
    <row r="327" ht="12.75" customHeight="1">
      <c r="A327" s="50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</row>
    <row r="328" ht="12.75" customHeight="1">
      <c r="A328" s="50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</row>
    <row r="329" ht="12.75" customHeight="1">
      <c r="A329" s="50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</row>
    <row r="330" ht="12.75" customHeight="1">
      <c r="A330" s="50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</row>
    <row r="331" ht="12.75" customHeight="1">
      <c r="A331" s="50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</row>
    <row r="332" ht="12.75" customHeight="1">
      <c r="A332" s="50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</row>
    <row r="333" ht="12.75" customHeight="1">
      <c r="A333" s="50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</row>
    <row r="334" ht="12.75" customHeight="1">
      <c r="A334" s="50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</row>
    <row r="335" ht="12.75" customHeight="1">
      <c r="A335" s="50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</row>
    <row r="336" ht="12.75" customHeight="1">
      <c r="A336" s="50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</row>
    <row r="337" ht="12.75" customHeight="1">
      <c r="A337" s="50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</row>
    <row r="338" ht="12.75" customHeight="1">
      <c r="A338" s="50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</row>
    <row r="339" ht="12.75" customHeight="1">
      <c r="A339" s="50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</row>
    <row r="340" ht="12.75" customHeight="1">
      <c r="A340" s="50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</row>
    <row r="341" ht="12.75" customHeight="1">
      <c r="A341" s="50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</row>
    <row r="342" ht="12.75" customHeight="1">
      <c r="A342" s="50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</row>
    <row r="343" ht="12.75" customHeight="1">
      <c r="A343" s="50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</row>
    <row r="344" ht="12.75" customHeight="1">
      <c r="A344" s="50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</row>
    <row r="345" ht="12.75" customHeight="1">
      <c r="A345" s="50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</row>
    <row r="346" ht="12.75" customHeight="1">
      <c r="A346" s="50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</row>
    <row r="347" ht="12.75" customHeight="1">
      <c r="A347" s="50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</row>
    <row r="348" ht="12.75" customHeight="1">
      <c r="A348" s="50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</row>
    <row r="349" ht="12.75" customHeight="1">
      <c r="A349" s="50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</row>
    <row r="350" ht="12.75" customHeight="1">
      <c r="A350" s="50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</row>
    <row r="351" ht="12.75" customHeight="1">
      <c r="A351" s="50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</row>
    <row r="352" ht="12.75" customHeight="1">
      <c r="A352" s="50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</row>
    <row r="353" ht="12.75" customHeight="1">
      <c r="A353" s="50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</row>
    <row r="354" ht="12.75" customHeight="1">
      <c r="A354" s="50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</row>
    <row r="355" ht="12.75" customHeight="1">
      <c r="A355" s="50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</row>
    <row r="356" ht="12.75" customHeight="1">
      <c r="A356" s="50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</row>
    <row r="357" ht="12.75" customHeight="1">
      <c r="A357" s="50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</row>
    <row r="358" ht="12.75" customHeight="1">
      <c r="A358" s="50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</row>
    <row r="359" ht="12.75" customHeight="1">
      <c r="A359" s="50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</row>
    <row r="360" ht="12.75" customHeight="1">
      <c r="A360" s="50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</row>
    <row r="361" ht="12.75" customHeight="1">
      <c r="A361" s="50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</row>
    <row r="362" ht="12.75" customHeight="1">
      <c r="A362" s="50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</row>
    <row r="363" ht="12.75" customHeight="1">
      <c r="A363" s="50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</row>
    <row r="364" ht="12.75" customHeight="1">
      <c r="A364" s="50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</row>
    <row r="365" ht="12.75" customHeight="1">
      <c r="A365" s="50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</row>
    <row r="366" ht="12.75" customHeight="1">
      <c r="A366" s="50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</row>
    <row r="367" ht="12.75" customHeight="1">
      <c r="A367" s="50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</row>
    <row r="368" ht="12.75" customHeight="1">
      <c r="A368" s="50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</row>
    <row r="369" ht="12.75" customHeight="1">
      <c r="A369" s="50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</row>
    <row r="370" ht="12.75" customHeight="1">
      <c r="A370" s="50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</row>
    <row r="371" ht="12.75" customHeight="1">
      <c r="A371" s="50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</row>
    <row r="372" ht="12.75" customHeight="1">
      <c r="A372" s="50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</row>
    <row r="373" ht="12.75" customHeight="1">
      <c r="A373" s="50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</row>
    <row r="374" ht="12.75" customHeight="1">
      <c r="A374" s="50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</row>
    <row r="375" ht="12.75" customHeight="1">
      <c r="A375" s="50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</row>
    <row r="376" ht="12.75" customHeight="1">
      <c r="A376" s="50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</row>
    <row r="377" ht="12.75" customHeight="1">
      <c r="A377" s="50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</row>
    <row r="378" ht="12.75" customHeight="1">
      <c r="A378" s="50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</row>
    <row r="379" ht="12.75" customHeight="1">
      <c r="A379" s="50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</row>
    <row r="380" ht="12.75" customHeight="1">
      <c r="A380" s="50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</row>
    <row r="381" ht="12.75" customHeight="1">
      <c r="A381" s="50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</row>
    <row r="382" ht="12.75" customHeight="1">
      <c r="A382" s="50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</row>
    <row r="383" ht="12.75" customHeight="1">
      <c r="A383" s="50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</row>
    <row r="384" ht="12.75" customHeight="1">
      <c r="A384" s="50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</row>
    <row r="385" ht="12.75" customHeight="1">
      <c r="A385" s="50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</row>
    <row r="386" ht="12.75" customHeight="1">
      <c r="A386" s="50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</row>
    <row r="387" ht="12.75" customHeight="1">
      <c r="A387" s="50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</row>
    <row r="388" ht="12.75" customHeight="1">
      <c r="A388" s="50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</row>
    <row r="389" ht="12.75" customHeight="1">
      <c r="A389" s="50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</row>
    <row r="390" ht="12.75" customHeight="1">
      <c r="A390" s="50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</row>
    <row r="391" ht="12.75" customHeight="1">
      <c r="A391" s="50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</row>
    <row r="392" ht="12.75" customHeight="1">
      <c r="A392" s="50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</row>
    <row r="393" ht="12.75" customHeight="1">
      <c r="A393" s="50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</row>
    <row r="394" ht="12.75" customHeight="1">
      <c r="A394" s="50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</row>
    <row r="395" ht="12.75" customHeight="1">
      <c r="A395" s="50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</row>
    <row r="396" ht="12.75" customHeight="1">
      <c r="A396" s="50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</row>
    <row r="397" ht="12.75" customHeight="1">
      <c r="A397" s="50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</row>
    <row r="398" ht="12.75" customHeight="1">
      <c r="A398" s="50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</row>
    <row r="399" ht="12.75" customHeight="1">
      <c r="A399" s="50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</row>
    <row r="400" ht="12.75" customHeight="1">
      <c r="A400" s="50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</row>
    <row r="401" ht="12.75" customHeight="1">
      <c r="A401" s="50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</row>
    <row r="402" ht="12.75" customHeight="1">
      <c r="A402" s="50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</row>
    <row r="403" ht="12.75" customHeight="1">
      <c r="A403" s="50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</row>
    <row r="404" ht="12.75" customHeight="1">
      <c r="A404" s="50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</row>
    <row r="405" ht="12.75" customHeight="1">
      <c r="A405" s="50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</row>
    <row r="406" ht="12.75" customHeight="1">
      <c r="A406" s="50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</row>
    <row r="407" ht="12.75" customHeight="1">
      <c r="A407" s="50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</row>
    <row r="408" ht="12.75" customHeight="1">
      <c r="A408" s="50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</row>
    <row r="409" ht="12.75" customHeight="1">
      <c r="A409" s="50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</row>
    <row r="410" ht="12.75" customHeight="1">
      <c r="A410" s="50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</row>
    <row r="411" ht="12.75" customHeight="1">
      <c r="A411" s="50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</row>
    <row r="412" ht="12.75" customHeight="1">
      <c r="A412" s="50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</row>
    <row r="413" ht="12.75" customHeight="1">
      <c r="A413" s="50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</row>
    <row r="414" ht="12.75" customHeight="1">
      <c r="A414" s="50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</row>
    <row r="415" ht="12.75" customHeight="1">
      <c r="A415" s="50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</row>
    <row r="416" ht="12.75" customHeight="1">
      <c r="A416" s="50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</row>
    <row r="417" ht="12.75" customHeight="1">
      <c r="A417" s="50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</row>
    <row r="418" ht="12.75" customHeight="1">
      <c r="A418" s="50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</row>
    <row r="419" ht="12.75" customHeight="1">
      <c r="A419" s="50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</row>
    <row r="420" ht="12.75" customHeight="1">
      <c r="A420" s="50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</row>
    <row r="421" ht="12.75" customHeight="1">
      <c r="A421" s="50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</row>
    <row r="422" ht="12.75" customHeight="1">
      <c r="A422" s="50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</row>
    <row r="423" ht="12.75" customHeight="1">
      <c r="A423" s="50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</row>
    <row r="424" ht="12.75" customHeight="1">
      <c r="A424" s="50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</row>
    <row r="425" ht="12.75" customHeight="1">
      <c r="A425" s="50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</row>
    <row r="426" ht="12.75" customHeight="1">
      <c r="A426" s="50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</row>
    <row r="427" ht="12.75" customHeight="1">
      <c r="A427" s="50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</row>
    <row r="428" ht="12.75" customHeight="1">
      <c r="A428" s="50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</row>
    <row r="429" ht="12.75" customHeight="1">
      <c r="A429" s="50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</row>
    <row r="430" ht="12.75" customHeight="1">
      <c r="A430" s="50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</row>
    <row r="431" ht="12.75" customHeight="1">
      <c r="A431" s="50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</row>
    <row r="432" ht="12.75" customHeight="1">
      <c r="A432" s="50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</row>
    <row r="433" ht="12.75" customHeight="1">
      <c r="A433" s="50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</row>
    <row r="434" ht="12.75" customHeight="1">
      <c r="A434" s="50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</row>
    <row r="435" ht="12.75" customHeight="1">
      <c r="A435" s="50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</row>
    <row r="436" ht="12.75" customHeight="1">
      <c r="A436" s="50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</row>
    <row r="437" ht="12.75" customHeight="1">
      <c r="A437" s="50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</row>
    <row r="438" ht="12.75" customHeight="1">
      <c r="A438" s="50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</row>
    <row r="439" ht="12.75" customHeight="1">
      <c r="A439" s="50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</row>
    <row r="440" ht="12.75" customHeight="1">
      <c r="A440" s="50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</row>
    <row r="441" ht="12.75" customHeight="1">
      <c r="A441" s="50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</row>
    <row r="442" ht="12.75" customHeight="1">
      <c r="A442" s="50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</row>
    <row r="443" ht="12.75" customHeight="1">
      <c r="A443" s="50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</row>
    <row r="444" ht="12.75" customHeight="1">
      <c r="A444" s="50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</row>
    <row r="445" ht="12.75" customHeight="1">
      <c r="A445" s="50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</row>
    <row r="446" ht="12.75" customHeight="1">
      <c r="A446" s="50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</row>
    <row r="447" ht="12.75" customHeight="1">
      <c r="A447" s="50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</row>
    <row r="448" ht="12.75" customHeight="1">
      <c r="A448" s="50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</row>
    <row r="449" ht="12.75" customHeight="1">
      <c r="A449" s="50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</row>
    <row r="450" ht="12.75" customHeight="1">
      <c r="A450" s="50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</row>
    <row r="451" ht="12.75" customHeight="1">
      <c r="A451" s="50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</row>
    <row r="452" ht="12.75" customHeight="1">
      <c r="A452" s="50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</row>
    <row r="453" ht="12.75" customHeight="1">
      <c r="A453" s="50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</row>
    <row r="454" ht="12.75" customHeight="1">
      <c r="A454" s="50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</row>
    <row r="455" ht="12.75" customHeight="1">
      <c r="A455" s="50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</row>
    <row r="456" ht="12.75" customHeight="1">
      <c r="A456" s="50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</row>
    <row r="457" ht="12.75" customHeight="1">
      <c r="A457" s="50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</row>
    <row r="458" ht="12.75" customHeight="1">
      <c r="A458" s="50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</row>
    <row r="459" ht="12.75" customHeight="1">
      <c r="A459" s="50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</row>
    <row r="460" ht="12.75" customHeight="1">
      <c r="A460" s="50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</row>
    <row r="461" ht="12.75" customHeight="1">
      <c r="A461" s="50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</row>
    <row r="462" ht="12.75" customHeight="1">
      <c r="A462" s="50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</row>
    <row r="463" ht="12.75" customHeight="1">
      <c r="A463" s="50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</row>
    <row r="464" ht="12.75" customHeight="1">
      <c r="A464" s="50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</row>
    <row r="465" ht="12.75" customHeight="1">
      <c r="A465" s="50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</row>
    <row r="466" ht="12.75" customHeight="1">
      <c r="A466" s="50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</row>
    <row r="467" ht="12.75" customHeight="1">
      <c r="A467" s="50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</row>
    <row r="468" ht="12.75" customHeight="1">
      <c r="A468" s="50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</row>
    <row r="469" ht="12.75" customHeight="1">
      <c r="A469" s="50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</row>
    <row r="470" ht="12.75" customHeight="1">
      <c r="A470" s="50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</row>
    <row r="471" ht="12.75" customHeight="1">
      <c r="A471" s="50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</row>
    <row r="472" ht="12.75" customHeight="1">
      <c r="A472" s="50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</row>
    <row r="473" ht="12.75" customHeight="1">
      <c r="A473" s="50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</row>
    <row r="474" ht="12.75" customHeight="1">
      <c r="A474" s="50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</row>
    <row r="475" ht="12.75" customHeight="1">
      <c r="A475" s="50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</row>
    <row r="476" ht="12.75" customHeight="1">
      <c r="A476" s="50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</row>
    <row r="477" ht="12.75" customHeight="1">
      <c r="A477" s="50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</row>
    <row r="478" ht="12.75" customHeight="1">
      <c r="A478" s="50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</row>
    <row r="479" ht="12.75" customHeight="1">
      <c r="A479" s="50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</row>
    <row r="480" ht="12.75" customHeight="1">
      <c r="A480" s="50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</row>
    <row r="481" ht="12.75" customHeight="1">
      <c r="A481" s="50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</row>
    <row r="482" ht="12.75" customHeight="1">
      <c r="A482" s="50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</row>
    <row r="483" ht="12.75" customHeight="1">
      <c r="A483" s="50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</row>
    <row r="484" ht="12.75" customHeight="1">
      <c r="A484" s="50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</row>
    <row r="485" ht="12.75" customHeight="1">
      <c r="A485" s="50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</row>
    <row r="486" ht="12.75" customHeight="1">
      <c r="A486" s="50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</row>
    <row r="487" ht="12.75" customHeight="1">
      <c r="A487" s="50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</row>
    <row r="488" ht="12.75" customHeight="1">
      <c r="A488" s="50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</row>
    <row r="489" ht="12.75" customHeight="1">
      <c r="A489" s="50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</row>
    <row r="490" ht="12.75" customHeight="1">
      <c r="A490" s="50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</row>
    <row r="491" ht="12.75" customHeight="1">
      <c r="A491" s="50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</row>
    <row r="492" ht="12.75" customHeight="1">
      <c r="A492" s="50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</row>
    <row r="493" ht="12.75" customHeight="1">
      <c r="A493" s="50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</row>
    <row r="494" ht="12.75" customHeight="1">
      <c r="A494" s="50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</row>
    <row r="495" ht="12.75" customHeight="1">
      <c r="A495" s="50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</row>
    <row r="496" ht="12.75" customHeight="1">
      <c r="A496" s="50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</row>
    <row r="497" ht="12.75" customHeight="1">
      <c r="A497" s="50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</row>
    <row r="498" ht="12.75" customHeight="1">
      <c r="A498" s="50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</row>
    <row r="499" ht="12.75" customHeight="1">
      <c r="A499" s="50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</row>
    <row r="500" ht="12.75" customHeight="1">
      <c r="A500" s="50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</row>
    <row r="501" ht="12.75" customHeight="1">
      <c r="A501" s="50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</row>
    <row r="502" ht="12.75" customHeight="1">
      <c r="A502" s="50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</row>
    <row r="503" ht="12.75" customHeight="1">
      <c r="A503" s="50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</row>
    <row r="504" ht="12.75" customHeight="1">
      <c r="A504" s="50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</row>
    <row r="505" ht="12.75" customHeight="1">
      <c r="A505" s="50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</row>
    <row r="506" ht="12.75" customHeight="1">
      <c r="A506" s="50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</row>
    <row r="507" ht="12.75" customHeight="1">
      <c r="A507" s="50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</row>
    <row r="508" ht="12.75" customHeight="1">
      <c r="A508" s="50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</row>
    <row r="509" ht="12.75" customHeight="1">
      <c r="A509" s="50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</row>
    <row r="510" ht="12.75" customHeight="1">
      <c r="A510" s="50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</row>
    <row r="511" ht="12.75" customHeight="1">
      <c r="A511" s="50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</row>
    <row r="512" ht="12.75" customHeight="1">
      <c r="A512" s="50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</row>
    <row r="513" ht="12.75" customHeight="1">
      <c r="A513" s="50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</row>
    <row r="514" ht="12.75" customHeight="1">
      <c r="A514" s="50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</row>
    <row r="515" ht="12.75" customHeight="1">
      <c r="A515" s="50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</row>
    <row r="516" ht="12.75" customHeight="1">
      <c r="A516" s="50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</row>
    <row r="517" ht="12.75" customHeight="1">
      <c r="A517" s="50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</row>
    <row r="518" ht="12.75" customHeight="1">
      <c r="A518" s="50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</row>
    <row r="519" ht="12.75" customHeight="1">
      <c r="A519" s="50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</row>
    <row r="520" ht="12.75" customHeight="1">
      <c r="A520" s="50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</row>
    <row r="521" ht="12.75" customHeight="1">
      <c r="A521" s="50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</row>
    <row r="522" ht="12.75" customHeight="1">
      <c r="A522" s="50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</row>
    <row r="523" ht="12.75" customHeight="1">
      <c r="A523" s="50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</row>
    <row r="524" ht="12.75" customHeight="1">
      <c r="A524" s="50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</row>
    <row r="525" ht="12.75" customHeight="1">
      <c r="A525" s="50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</row>
    <row r="526" ht="12.75" customHeight="1">
      <c r="A526" s="50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</row>
    <row r="527" ht="12.75" customHeight="1">
      <c r="A527" s="50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</row>
    <row r="528" ht="12.75" customHeight="1">
      <c r="A528" s="50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</row>
    <row r="529" ht="12.75" customHeight="1">
      <c r="A529" s="50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</row>
    <row r="530" ht="12.75" customHeight="1">
      <c r="A530" s="50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</row>
    <row r="531" ht="12.75" customHeight="1">
      <c r="A531" s="50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</row>
    <row r="532" ht="12.75" customHeight="1">
      <c r="A532" s="50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</row>
    <row r="533" ht="12.75" customHeight="1">
      <c r="A533" s="50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</row>
    <row r="534" ht="12.75" customHeight="1">
      <c r="A534" s="50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</row>
    <row r="535" ht="12.75" customHeight="1">
      <c r="A535" s="50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</row>
    <row r="536" ht="12.75" customHeight="1">
      <c r="A536" s="50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</row>
    <row r="537" ht="12.75" customHeight="1">
      <c r="A537" s="50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</row>
    <row r="538" ht="12.75" customHeight="1">
      <c r="A538" s="50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</row>
    <row r="539" ht="12.75" customHeight="1">
      <c r="A539" s="50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</row>
    <row r="540" ht="12.75" customHeight="1">
      <c r="A540" s="50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</row>
    <row r="541" ht="12.75" customHeight="1">
      <c r="A541" s="50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</row>
    <row r="542" ht="12.75" customHeight="1">
      <c r="A542" s="50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</row>
    <row r="543" ht="12.75" customHeight="1">
      <c r="A543" s="50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</row>
    <row r="544" ht="12.75" customHeight="1">
      <c r="A544" s="50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</row>
    <row r="545" ht="12.75" customHeight="1">
      <c r="A545" s="50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</row>
    <row r="546" ht="12.75" customHeight="1">
      <c r="A546" s="50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</row>
    <row r="547" ht="12.75" customHeight="1">
      <c r="A547" s="50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</row>
    <row r="548" ht="12.75" customHeight="1">
      <c r="A548" s="50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</row>
    <row r="549" ht="12.75" customHeight="1">
      <c r="A549" s="50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</row>
    <row r="550" ht="12.75" customHeight="1">
      <c r="A550" s="50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</row>
    <row r="551" ht="12.75" customHeight="1">
      <c r="A551" s="50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</row>
    <row r="552" ht="12.75" customHeight="1">
      <c r="A552" s="50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</row>
    <row r="553" ht="12.75" customHeight="1">
      <c r="A553" s="50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</row>
    <row r="554" ht="12.75" customHeight="1">
      <c r="A554" s="50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</row>
    <row r="555" ht="12.75" customHeight="1">
      <c r="A555" s="50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</row>
    <row r="556" ht="12.75" customHeight="1">
      <c r="A556" s="50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</row>
    <row r="557" ht="12.75" customHeight="1">
      <c r="A557" s="50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</row>
    <row r="558" ht="12.75" customHeight="1">
      <c r="A558" s="50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</row>
    <row r="559" ht="12.75" customHeight="1">
      <c r="A559" s="50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</row>
    <row r="560" ht="12.75" customHeight="1">
      <c r="A560" s="50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</row>
    <row r="561" ht="12.75" customHeight="1">
      <c r="A561" s="50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</row>
    <row r="562" ht="12.75" customHeight="1">
      <c r="A562" s="50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</row>
    <row r="563" ht="12.75" customHeight="1">
      <c r="A563" s="50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</row>
    <row r="564" ht="12.75" customHeight="1">
      <c r="A564" s="50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</row>
    <row r="565" ht="12.75" customHeight="1">
      <c r="A565" s="50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</row>
    <row r="566" ht="12.75" customHeight="1">
      <c r="A566" s="50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</row>
    <row r="567" ht="12.75" customHeight="1">
      <c r="A567" s="50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</row>
    <row r="568" ht="12.75" customHeight="1">
      <c r="A568" s="50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</row>
    <row r="569" ht="12.75" customHeight="1">
      <c r="A569" s="50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</row>
    <row r="570" ht="12.75" customHeight="1">
      <c r="A570" s="50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</row>
    <row r="571" ht="12.75" customHeight="1">
      <c r="A571" s="50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</row>
    <row r="572" ht="12.75" customHeight="1">
      <c r="A572" s="50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</row>
    <row r="573" ht="12.75" customHeight="1">
      <c r="A573" s="50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</row>
    <row r="574" ht="12.75" customHeight="1">
      <c r="A574" s="50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</row>
    <row r="575" ht="12.75" customHeight="1">
      <c r="A575" s="50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</row>
    <row r="576" ht="12.75" customHeight="1">
      <c r="A576" s="50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</row>
    <row r="577" ht="12.75" customHeight="1">
      <c r="A577" s="50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</row>
    <row r="578" ht="12.75" customHeight="1">
      <c r="A578" s="50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</row>
    <row r="579" ht="12.75" customHeight="1">
      <c r="A579" s="50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</row>
    <row r="580" ht="12.75" customHeight="1">
      <c r="A580" s="50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</row>
    <row r="581" ht="12.75" customHeight="1">
      <c r="A581" s="50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</row>
    <row r="582" ht="12.75" customHeight="1">
      <c r="A582" s="50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</row>
    <row r="583" ht="12.75" customHeight="1">
      <c r="A583" s="50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</row>
    <row r="584" ht="12.75" customHeight="1">
      <c r="A584" s="50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</row>
    <row r="585" ht="12.75" customHeight="1">
      <c r="A585" s="50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</row>
    <row r="586" ht="12.75" customHeight="1">
      <c r="A586" s="50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</row>
    <row r="587" ht="12.75" customHeight="1">
      <c r="A587" s="50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</row>
    <row r="588" ht="12.75" customHeight="1">
      <c r="A588" s="50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</row>
    <row r="589" ht="12.75" customHeight="1">
      <c r="A589" s="50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</row>
    <row r="590" ht="12.75" customHeight="1">
      <c r="A590" s="50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</row>
    <row r="591" ht="12.75" customHeight="1">
      <c r="A591" s="50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</row>
    <row r="592" ht="12.75" customHeight="1">
      <c r="A592" s="50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</row>
    <row r="593" ht="12.75" customHeight="1">
      <c r="A593" s="50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</row>
    <row r="594" ht="12.75" customHeight="1">
      <c r="A594" s="50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</row>
    <row r="595" ht="12.75" customHeight="1">
      <c r="A595" s="50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</row>
    <row r="596" ht="12.75" customHeight="1">
      <c r="A596" s="50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</row>
    <row r="597" ht="12.75" customHeight="1">
      <c r="A597" s="50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</row>
    <row r="598" ht="12.75" customHeight="1">
      <c r="A598" s="50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</row>
    <row r="599" ht="12.75" customHeight="1">
      <c r="A599" s="50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</row>
    <row r="600" ht="12.75" customHeight="1">
      <c r="A600" s="50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</row>
    <row r="601" ht="12.75" customHeight="1">
      <c r="A601" s="50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</row>
    <row r="602" ht="12.75" customHeight="1">
      <c r="A602" s="50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</row>
    <row r="603" ht="12.75" customHeight="1">
      <c r="A603" s="50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</row>
    <row r="604" ht="12.75" customHeight="1">
      <c r="A604" s="50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</row>
    <row r="605" ht="12.75" customHeight="1">
      <c r="A605" s="50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</row>
    <row r="606" ht="12.75" customHeight="1">
      <c r="A606" s="50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</row>
    <row r="607" ht="12.75" customHeight="1">
      <c r="A607" s="50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</row>
    <row r="608" ht="12.75" customHeight="1">
      <c r="A608" s="50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</row>
    <row r="609" ht="12.75" customHeight="1">
      <c r="A609" s="50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</row>
    <row r="610" ht="12.75" customHeight="1">
      <c r="A610" s="50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</row>
    <row r="611" ht="12.75" customHeight="1">
      <c r="A611" s="50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</row>
    <row r="612" ht="12.75" customHeight="1">
      <c r="A612" s="50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</row>
    <row r="613" ht="12.75" customHeight="1">
      <c r="A613" s="50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</row>
    <row r="614" ht="12.75" customHeight="1">
      <c r="A614" s="50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</row>
    <row r="615" ht="12.75" customHeight="1">
      <c r="A615" s="50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</row>
    <row r="616" ht="12.75" customHeight="1">
      <c r="A616" s="50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</row>
    <row r="617" ht="12.75" customHeight="1">
      <c r="A617" s="50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</row>
    <row r="618" ht="12.75" customHeight="1">
      <c r="A618" s="50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</row>
    <row r="619" ht="12.75" customHeight="1">
      <c r="A619" s="50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</row>
    <row r="620" ht="12.75" customHeight="1">
      <c r="A620" s="50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</row>
    <row r="621" ht="12.75" customHeight="1">
      <c r="A621" s="50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</row>
    <row r="622" ht="12.75" customHeight="1">
      <c r="A622" s="50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</row>
    <row r="623" ht="12.75" customHeight="1">
      <c r="A623" s="50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</row>
    <row r="624" ht="12.75" customHeight="1">
      <c r="A624" s="50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</row>
    <row r="625" ht="12.75" customHeight="1">
      <c r="A625" s="50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</row>
    <row r="626" ht="12.75" customHeight="1">
      <c r="A626" s="50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</row>
    <row r="627" ht="12.75" customHeight="1">
      <c r="A627" s="50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</row>
    <row r="628" ht="12.75" customHeight="1">
      <c r="A628" s="50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</row>
    <row r="629" ht="12.75" customHeight="1">
      <c r="A629" s="50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</row>
    <row r="630" ht="12.75" customHeight="1">
      <c r="A630" s="50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</row>
    <row r="631" ht="12.75" customHeight="1">
      <c r="A631" s="50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</row>
    <row r="632" ht="12.75" customHeight="1">
      <c r="A632" s="50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</row>
    <row r="633" ht="12.75" customHeight="1">
      <c r="A633" s="50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</row>
    <row r="634" ht="12.75" customHeight="1">
      <c r="A634" s="50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</row>
    <row r="635" ht="12.75" customHeight="1">
      <c r="A635" s="50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</row>
    <row r="636" ht="12.75" customHeight="1">
      <c r="A636" s="50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</row>
    <row r="637" ht="12.75" customHeight="1">
      <c r="A637" s="50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</row>
    <row r="638" ht="12.75" customHeight="1">
      <c r="A638" s="50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</row>
    <row r="639" ht="12.75" customHeight="1">
      <c r="A639" s="50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</row>
    <row r="640" ht="12.75" customHeight="1">
      <c r="A640" s="50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</row>
    <row r="641" ht="12.75" customHeight="1">
      <c r="A641" s="50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</row>
    <row r="642" ht="12.75" customHeight="1">
      <c r="A642" s="50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</row>
    <row r="643" ht="12.75" customHeight="1">
      <c r="A643" s="50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</row>
    <row r="644" ht="12.75" customHeight="1">
      <c r="A644" s="50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</row>
    <row r="645" ht="12.75" customHeight="1">
      <c r="A645" s="50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</row>
    <row r="646" ht="12.75" customHeight="1">
      <c r="A646" s="50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</row>
    <row r="647" ht="12.75" customHeight="1">
      <c r="A647" s="50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</row>
    <row r="648" ht="12.75" customHeight="1">
      <c r="A648" s="50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</row>
    <row r="649" ht="12.75" customHeight="1">
      <c r="A649" s="50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</row>
    <row r="650" ht="12.75" customHeight="1">
      <c r="A650" s="50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</row>
    <row r="651" ht="12.75" customHeight="1">
      <c r="A651" s="50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</row>
    <row r="652" ht="12.75" customHeight="1">
      <c r="A652" s="50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</row>
    <row r="653" ht="12.75" customHeight="1">
      <c r="A653" s="50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</row>
    <row r="654" ht="12.75" customHeight="1">
      <c r="A654" s="50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</row>
    <row r="655" ht="12.75" customHeight="1">
      <c r="A655" s="50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</row>
    <row r="656" ht="12.75" customHeight="1">
      <c r="A656" s="50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</row>
    <row r="657" ht="12.75" customHeight="1">
      <c r="A657" s="50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</row>
    <row r="658" ht="12.75" customHeight="1">
      <c r="A658" s="50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</row>
    <row r="659" ht="12.75" customHeight="1">
      <c r="A659" s="50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</row>
    <row r="660" ht="12.75" customHeight="1">
      <c r="A660" s="50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</row>
    <row r="661" ht="12.75" customHeight="1">
      <c r="A661" s="50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</row>
    <row r="662" ht="12.75" customHeight="1">
      <c r="A662" s="50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</row>
    <row r="663" ht="12.75" customHeight="1">
      <c r="A663" s="50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</row>
    <row r="664" ht="12.75" customHeight="1">
      <c r="A664" s="50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</row>
    <row r="665" ht="12.75" customHeight="1">
      <c r="A665" s="50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</row>
    <row r="666" ht="12.75" customHeight="1">
      <c r="A666" s="50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</row>
    <row r="667" ht="12.75" customHeight="1">
      <c r="A667" s="50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</row>
    <row r="668" ht="12.75" customHeight="1">
      <c r="A668" s="50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</row>
    <row r="669" ht="12.75" customHeight="1">
      <c r="A669" s="50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</row>
    <row r="670" ht="12.75" customHeight="1">
      <c r="A670" s="50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</row>
    <row r="671" ht="12.75" customHeight="1">
      <c r="A671" s="50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</row>
    <row r="672" ht="12.75" customHeight="1">
      <c r="A672" s="50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</row>
    <row r="673" ht="12.75" customHeight="1">
      <c r="A673" s="50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</row>
    <row r="674" ht="12.75" customHeight="1">
      <c r="A674" s="50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</row>
    <row r="675" ht="12.75" customHeight="1">
      <c r="A675" s="50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</row>
    <row r="676" ht="12.75" customHeight="1">
      <c r="A676" s="50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</row>
    <row r="677" ht="12.75" customHeight="1">
      <c r="A677" s="50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</row>
    <row r="678" ht="12.75" customHeight="1">
      <c r="A678" s="50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</row>
    <row r="679" ht="12.75" customHeight="1">
      <c r="A679" s="50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</row>
    <row r="680" ht="12.75" customHeight="1">
      <c r="A680" s="50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</row>
    <row r="681" ht="12.75" customHeight="1">
      <c r="A681" s="50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</row>
    <row r="682" ht="12.75" customHeight="1">
      <c r="A682" s="50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</row>
    <row r="683" ht="12.75" customHeight="1">
      <c r="A683" s="50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</row>
    <row r="684" ht="12.75" customHeight="1">
      <c r="A684" s="50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</row>
    <row r="685" ht="12.75" customHeight="1">
      <c r="A685" s="50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</row>
    <row r="686" ht="12.75" customHeight="1">
      <c r="A686" s="50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</row>
    <row r="687" ht="12.75" customHeight="1">
      <c r="A687" s="50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</row>
    <row r="688" ht="12.75" customHeight="1">
      <c r="A688" s="50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</row>
    <row r="689" ht="12.75" customHeight="1">
      <c r="A689" s="50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</row>
    <row r="690" ht="12.75" customHeight="1">
      <c r="A690" s="50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</row>
    <row r="691" ht="12.75" customHeight="1">
      <c r="A691" s="50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</row>
    <row r="692" ht="12.75" customHeight="1">
      <c r="A692" s="50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</row>
    <row r="693" ht="12.75" customHeight="1">
      <c r="A693" s="50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</row>
    <row r="694" ht="12.75" customHeight="1">
      <c r="A694" s="50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</row>
    <row r="695" ht="12.75" customHeight="1">
      <c r="A695" s="50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</row>
    <row r="696" ht="12.75" customHeight="1">
      <c r="A696" s="50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</row>
    <row r="697" ht="12.75" customHeight="1">
      <c r="A697" s="50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</row>
    <row r="698" ht="12.75" customHeight="1">
      <c r="A698" s="50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</row>
    <row r="699" ht="12.75" customHeight="1">
      <c r="A699" s="50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</row>
    <row r="700" ht="12.75" customHeight="1">
      <c r="A700" s="50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</row>
    <row r="701" ht="12.75" customHeight="1">
      <c r="A701" s="50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</row>
    <row r="702" ht="12.75" customHeight="1">
      <c r="A702" s="50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</row>
    <row r="703" ht="12.75" customHeight="1">
      <c r="A703" s="50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</row>
    <row r="704" ht="12.75" customHeight="1">
      <c r="A704" s="50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</row>
    <row r="705" ht="12.75" customHeight="1">
      <c r="A705" s="50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</row>
    <row r="706" ht="12.75" customHeight="1">
      <c r="A706" s="50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</row>
    <row r="707" ht="12.75" customHeight="1">
      <c r="A707" s="50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</row>
    <row r="708" ht="12.75" customHeight="1">
      <c r="A708" s="50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</row>
    <row r="709" ht="12.75" customHeight="1">
      <c r="A709" s="50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</row>
    <row r="710" ht="12.75" customHeight="1">
      <c r="A710" s="50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</row>
    <row r="711" ht="12.75" customHeight="1">
      <c r="A711" s="50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</row>
    <row r="712" ht="12.75" customHeight="1">
      <c r="A712" s="50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</row>
    <row r="713" ht="12.75" customHeight="1">
      <c r="A713" s="50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</row>
    <row r="714" ht="12.75" customHeight="1">
      <c r="A714" s="50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</row>
    <row r="715" ht="12.75" customHeight="1">
      <c r="A715" s="50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</row>
    <row r="716" ht="12.75" customHeight="1">
      <c r="A716" s="50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</row>
    <row r="717" ht="12.75" customHeight="1">
      <c r="A717" s="50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</row>
    <row r="718" ht="12.75" customHeight="1">
      <c r="A718" s="50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</row>
    <row r="719" ht="12.75" customHeight="1">
      <c r="A719" s="50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</row>
    <row r="720" ht="12.75" customHeight="1">
      <c r="A720" s="50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</row>
    <row r="721" ht="12.75" customHeight="1">
      <c r="A721" s="50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</row>
    <row r="722" ht="12.75" customHeight="1">
      <c r="A722" s="50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</row>
    <row r="723" ht="12.75" customHeight="1">
      <c r="A723" s="50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</row>
    <row r="724" ht="12.75" customHeight="1">
      <c r="A724" s="50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</row>
    <row r="725" ht="12.75" customHeight="1">
      <c r="A725" s="50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</row>
    <row r="726" ht="12.75" customHeight="1">
      <c r="A726" s="50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</row>
    <row r="727" ht="12.75" customHeight="1">
      <c r="A727" s="50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</row>
    <row r="728" ht="12.75" customHeight="1">
      <c r="A728" s="50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</row>
    <row r="729" ht="12.75" customHeight="1">
      <c r="A729" s="50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</row>
    <row r="730" ht="12.75" customHeight="1">
      <c r="A730" s="50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</row>
    <row r="731" ht="12.75" customHeight="1">
      <c r="A731" s="50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</row>
    <row r="732" ht="12.75" customHeight="1">
      <c r="A732" s="50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</row>
    <row r="733" ht="12.75" customHeight="1">
      <c r="A733" s="50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</row>
    <row r="734" ht="12.75" customHeight="1">
      <c r="A734" s="50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</row>
    <row r="735" ht="12.75" customHeight="1">
      <c r="A735" s="50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</row>
    <row r="736" ht="12.75" customHeight="1">
      <c r="A736" s="50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</row>
    <row r="737" ht="12.75" customHeight="1">
      <c r="A737" s="50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</row>
    <row r="738" ht="12.75" customHeight="1">
      <c r="A738" s="50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</row>
    <row r="739" ht="12.75" customHeight="1">
      <c r="A739" s="50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</row>
    <row r="740" ht="12.75" customHeight="1">
      <c r="A740" s="50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</row>
    <row r="741" ht="12.75" customHeight="1">
      <c r="A741" s="50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</row>
    <row r="742" ht="12.75" customHeight="1">
      <c r="A742" s="50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</row>
    <row r="743" ht="12.75" customHeight="1">
      <c r="A743" s="50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</row>
    <row r="744" ht="12.75" customHeight="1">
      <c r="A744" s="50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</row>
    <row r="745" ht="12.75" customHeight="1">
      <c r="A745" s="50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</row>
    <row r="746" ht="12.75" customHeight="1">
      <c r="A746" s="50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</row>
    <row r="747" ht="12.75" customHeight="1">
      <c r="A747" s="50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</row>
    <row r="748" ht="12.75" customHeight="1">
      <c r="A748" s="50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</row>
    <row r="749" ht="12.75" customHeight="1">
      <c r="A749" s="50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</row>
    <row r="750" ht="12.75" customHeight="1">
      <c r="A750" s="50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</row>
    <row r="751" ht="12.75" customHeight="1">
      <c r="A751" s="50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</row>
    <row r="752" ht="12.75" customHeight="1">
      <c r="A752" s="50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</row>
    <row r="753" ht="12.75" customHeight="1">
      <c r="A753" s="50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</row>
    <row r="754" ht="12.75" customHeight="1">
      <c r="A754" s="50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</row>
    <row r="755" ht="12.75" customHeight="1">
      <c r="A755" s="50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</row>
    <row r="756" ht="12.75" customHeight="1">
      <c r="A756" s="50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</row>
    <row r="757" ht="12.75" customHeight="1">
      <c r="A757" s="50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</row>
    <row r="758" ht="12.75" customHeight="1">
      <c r="A758" s="50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</row>
    <row r="759" ht="12.75" customHeight="1">
      <c r="A759" s="50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</row>
    <row r="760" ht="12.75" customHeight="1">
      <c r="A760" s="50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</row>
    <row r="761" ht="12.75" customHeight="1">
      <c r="A761" s="50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</row>
    <row r="762" ht="12.75" customHeight="1">
      <c r="A762" s="50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</row>
    <row r="763" ht="12.75" customHeight="1">
      <c r="A763" s="50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</row>
    <row r="764" ht="12.75" customHeight="1">
      <c r="A764" s="50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</row>
    <row r="765" ht="12.75" customHeight="1">
      <c r="A765" s="50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</row>
    <row r="766" ht="12.75" customHeight="1">
      <c r="A766" s="50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</row>
    <row r="767" ht="12.75" customHeight="1">
      <c r="A767" s="50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</row>
    <row r="768" ht="12.75" customHeight="1">
      <c r="A768" s="50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</row>
    <row r="769" ht="12.75" customHeight="1">
      <c r="A769" s="50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</row>
    <row r="770" ht="12.75" customHeight="1">
      <c r="A770" s="50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</row>
    <row r="771" ht="12.75" customHeight="1">
      <c r="A771" s="50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</row>
    <row r="772" ht="12.75" customHeight="1">
      <c r="A772" s="50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</row>
    <row r="773" ht="12.75" customHeight="1">
      <c r="A773" s="50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</row>
    <row r="774" ht="12.75" customHeight="1">
      <c r="A774" s="50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</row>
    <row r="775" ht="12.75" customHeight="1">
      <c r="A775" s="50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</row>
    <row r="776" ht="12.75" customHeight="1">
      <c r="A776" s="50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</row>
    <row r="777" ht="12.75" customHeight="1">
      <c r="A777" s="50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</row>
    <row r="778" ht="12.75" customHeight="1">
      <c r="A778" s="50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</row>
    <row r="779" ht="12.75" customHeight="1">
      <c r="A779" s="50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</row>
    <row r="780" ht="12.75" customHeight="1">
      <c r="A780" s="50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</row>
    <row r="781" ht="12.75" customHeight="1">
      <c r="A781" s="50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</row>
    <row r="782" ht="12.75" customHeight="1">
      <c r="A782" s="50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</row>
    <row r="783" ht="12.75" customHeight="1">
      <c r="A783" s="50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</row>
    <row r="784" ht="12.75" customHeight="1">
      <c r="A784" s="50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</row>
    <row r="785" ht="12.75" customHeight="1">
      <c r="A785" s="50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</row>
    <row r="786" ht="12.75" customHeight="1">
      <c r="A786" s="50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</row>
    <row r="787" ht="12.75" customHeight="1">
      <c r="A787" s="50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</row>
    <row r="788" ht="12.75" customHeight="1">
      <c r="A788" s="50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</row>
    <row r="789" ht="12.75" customHeight="1">
      <c r="A789" s="50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</row>
    <row r="790" ht="12.75" customHeight="1">
      <c r="A790" s="50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</row>
    <row r="791" ht="12.75" customHeight="1">
      <c r="A791" s="50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</row>
    <row r="792" ht="12.75" customHeight="1">
      <c r="A792" s="50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</row>
    <row r="793" ht="12.75" customHeight="1">
      <c r="A793" s="50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</row>
    <row r="794" ht="12.75" customHeight="1">
      <c r="A794" s="50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</row>
    <row r="795" ht="12.75" customHeight="1">
      <c r="A795" s="50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</row>
    <row r="796" ht="12.75" customHeight="1">
      <c r="A796" s="50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</row>
    <row r="797" ht="12.75" customHeight="1">
      <c r="A797" s="50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</row>
    <row r="798" ht="12.75" customHeight="1">
      <c r="A798" s="50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</row>
    <row r="799" ht="12.75" customHeight="1">
      <c r="A799" s="50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</row>
    <row r="800" ht="12.75" customHeight="1">
      <c r="A800" s="50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</row>
    <row r="801" ht="12.75" customHeight="1">
      <c r="A801" s="50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</row>
    <row r="802" ht="12.75" customHeight="1">
      <c r="A802" s="50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</row>
    <row r="803" ht="12.75" customHeight="1">
      <c r="A803" s="50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</row>
    <row r="804" ht="12.75" customHeight="1">
      <c r="A804" s="50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</row>
    <row r="805" ht="12.75" customHeight="1">
      <c r="A805" s="50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</row>
    <row r="806" ht="12.75" customHeight="1">
      <c r="A806" s="50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</row>
    <row r="807" ht="12.75" customHeight="1">
      <c r="A807" s="50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</row>
    <row r="808" ht="12.75" customHeight="1">
      <c r="A808" s="50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</row>
    <row r="809" ht="12.75" customHeight="1">
      <c r="A809" s="50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</row>
    <row r="810" ht="12.75" customHeight="1">
      <c r="A810" s="50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</row>
    <row r="811" ht="12.75" customHeight="1">
      <c r="A811" s="50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</row>
    <row r="812" ht="12.75" customHeight="1">
      <c r="A812" s="50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</row>
    <row r="813" ht="12.75" customHeight="1">
      <c r="A813" s="50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</row>
    <row r="814" ht="12.75" customHeight="1">
      <c r="A814" s="50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</row>
    <row r="815" ht="12.75" customHeight="1">
      <c r="A815" s="50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</row>
    <row r="816" ht="12.75" customHeight="1">
      <c r="A816" s="50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</row>
    <row r="817" ht="12.75" customHeight="1">
      <c r="A817" s="50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</row>
    <row r="818" ht="12.75" customHeight="1">
      <c r="A818" s="50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</row>
    <row r="819" ht="12.75" customHeight="1">
      <c r="A819" s="50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</row>
    <row r="820" ht="12.75" customHeight="1">
      <c r="A820" s="50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</row>
    <row r="821" ht="12.75" customHeight="1">
      <c r="A821" s="50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</row>
    <row r="822" ht="12.75" customHeight="1">
      <c r="A822" s="50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</row>
    <row r="823" ht="12.75" customHeight="1">
      <c r="A823" s="50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</row>
    <row r="824" ht="12.75" customHeight="1">
      <c r="A824" s="50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</row>
    <row r="825" ht="12.75" customHeight="1">
      <c r="A825" s="50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</row>
    <row r="826" ht="12.75" customHeight="1">
      <c r="A826" s="50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</row>
    <row r="827" ht="12.75" customHeight="1">
      <c r="A827" s="50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</row>
    <row r="828" ht="12.75" customHeight="1">
      <c r="A828" s="50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</row>
    <row r="829" ht="12.75" customHeight="1">
      <c r="A829" s="50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</row>
    <row r="830" ht="12.75" customHeight="1">
      <c r="A830" s="50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</row>
    <row r="831" ht="12.75" customHeight="1">
      <c r="A831" s="50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</row>
    <row r="832" ht="12.75" customHeight="1">
      <c r="A832" s="50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</row>
    <row r="833" ht="12.75" customHeight="1">
      <c r="A833" s="50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</row>
    <row r="834" ht="12.75" customHeight="1">
      <c r="A834" s="50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</row>
    <row r="835" ht="12.75" customHeight="1">
      <c r="A835" s="50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</row>
    <row r="836" ht="12.75" customHeight="1">
      <c r="A836" s="50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</row>
    <row r="837" ht="12.75" customHeight="1">
      <c r="A837" s="50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</row>
    <row r="838" ht="12.75" customHeight="1">
      <c r="A838" s="50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</row>
    <row r="839" ht="12.75" customHeight="1">
      <c r="A839" s="50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</row>
    <row r="840" ht="12.75" customHeight="1">
      <c r="A840" s="50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</row>
    <row r="841" ht="12.75" customHeight="1">
      <c r="A841" s="50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</row>
    <row r="842" ht="12.75" customHeight="1">
      <c r="A842" s="50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</row>
    <row r="843" ht="12.75" customHeight="1">
      <c r="A843" s="50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</row>
    <row r="844" ht="12.75" customHeight="1">
      <c r="A844" s="50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</row>
    <row r="845" ht="12.75" customHeight="1">
      <c r="A845" s="50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</row>
    <row r="846" ht="12.75" customHeight="1">
      <c r="A846" s="50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</row>
    <row r="847" ht="12.75" customHeight="1">
      <c r="A847" s="50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</row>
    <row r="848" ht="12.75" customHeight="1">
      <c r="A848" s="50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</row>
    <row r="849" ht="12.75" customHeight="1">
      <c r="A849" s="50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</row>
    <row r="850" ht="12.75" customHeight="1">
      <c r="A850" s="50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</row>
    <row r="851" ht="12.75" customHeight="1">
      <c r="A851" s="50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</row>
    <row r="852" ht="12.75" customHeight="1">
      <c r="A852" s="50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</row>
    <row r="853" ht="12.75" customHeight="1">
      <c r="A853" s="50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</row>
    <row r="854" ht="12.75" customHeight="1">
      <c r="A854" s="50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</row>
    <row r="855" ht="12.75" customHeight="1">
      <c r="A855" s="50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</row>
    <row r="856" ht="12.75" customHeight="1">
      <c r="A856" s="50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</row>
    <row r="857" ht="12.75" customHeight="1">
      <c r="A857" s="50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</row>
    <row r="858" ht="12.75" customHeight="1">
      <c r="A858" s="50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</row>
    <row r="859" ht="12.75" customHeight="1">
      <c r="A859" s="50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</row>
    <row r="860" ht="12.75" customHeight="1">
      <c r="A860" s="50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</row>
    <row r="861" ht="12.75" customHeight="1">
      <c r="A861" s="50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</row>
    <row r="862" ht="12.75" customHeight="1">
      <c r="A862" s="50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</row>
    <row r="863" ht="12.75" customHeight="1">
      <c r="A863" s="50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</row>
    <row r="864" ht="12.75" customHeight="1">
      <c r="A864" s="50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</row>
    <row r="865" ht="12.75" customHeight="1">
      <c r="A865" s="50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</row>
    <row r="866" ht="12.75" customHeight="1">
      <c r="A866" s="50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</row>
    <row r="867" ht="12.75" customHeight="1">
      <c r="A867" s="50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</row>
    <row r="868" ht="12.75" customHeight="1">
      <c r="A868" s="50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</row>
    <row r="869" ht="12.75" customHeight="1">
      <c r="A869" s="50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</row>
    <row r="870" ht="12.75" customHeight="1">
      <c r="A870" s="50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</row>
    <row r="871" ht="12.75" customHeight="1">
      <c r="A871" s="50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</row>
    <row r="872" ht="12.75" customHeight="1">
      <c r="A872" s="50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</row>
    <row r="873" ht="12.75" customHeight="1">
      <c r="A873" s="50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</row>
    <row r="874" ht="12.75" customHeight="1">
      <c r="A874" s="50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</row>
    <row r="875" ht="12.75" customHeight="1">
      <c r="A875" s="50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</row>
    <row r="876" ht="12.75" customHeight="1">
      <c r="A876" s="50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</row>
    <row r="877" ht="12.75" customHeight="1">
      <c r="A877" s="50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</row>
    <row r="878" ht="12.75" customHeight="1">
      <c r="A878" s="50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</row>
    <row r="879" ht="12.75" customHeight="1">
      <c r="A879" s="50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</row>
    <row r="880" ht="12.75" customHeight="1">
      <c r="A880" s="50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</row>
    <row r="881" ht="12.75" customHeight="1">
      <c r="A881" s="50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</row>
    <row r="882" ht="12.75" customHeight="1">
      <c r="A882" s="50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</row>
    <row r="883" ht="12.75" customHeight="1">
      <c r="A883" s="50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</row>
    <row r="884" ht="12.75" customHeight="1">
      <c r="A884" s="50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</row>
    <row r="885" ht="12.75" customHeight="1">
      <c r="A885" s="50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</row>
    <row r="886" ht="12.75" customHeight="1">
      <c r="A886" s="50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</row>
    <row r="887" ht="12.75" customHeight="1">
      <c r="A887" s="50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</row>
    <row r="888" ht="12.75" customHeight="1">
      <c r="A888" s="50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</row>
    <row r="889" ht="12.75" customHeight="1">
      <c r="A889" s="50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</row>
    <row r="890" ht="12.75" customHeight="1">
      <c r="A890" s="50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</row>
    <row r="891" ht="12.75" customHeight="1">
      <c r="A891" s="50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</row>
    <row r="892" ht="12.75" customHeight="1">
      <c r="A892" s="50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</row>
    <row r="893" ht="12.75" customHeight="1">
      <c r="A893" s="50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</row>
    <row r="894" ht="12.75" customHeight="1">
      <c r="A894" s="50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</row>
    <row r="895" ht="12.75" customHeight="1">
      <c r="A895" s="50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</row>
    <row r="896" ht="12.75" customHeight="1">
      <c r="A896" s="50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</row>
    <row r="897" ht="12.75" customHeight="1">
      <c r="A897" s="50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</row>
    <row r="898" ht="12.75" customHeight="1">
      <c r="A898" s="50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</row>
    <row r="899" ht="12.75" customHeight="1">
      <c r="A899" s="50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</row>
    <row r="900" ht="12.75" customHeight="1">
      <c r="A900" s="50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</row>
    <row r="901" ht="12.75" customHeight="1">
      <c r="A901" s="50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</row>
    <row r="902" ht="12.75" customHeight="1">
      <c r="A902" s="50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</row>
    <row r="903" ht="12.75" customHeight="1">
      <c r="A903" s="50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</row>
    <row r="904" ht="12.75" customHeight="1">
      <c r="A904" s="50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</row>
    <row r="905" ht="12.75" customHeight="1">
      <c r="A905" s="50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</row>
    <row r="906" ht="12.75" customHeight="1">
      <c r="A906" s="50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</row>
    <row r="907" ht="12.75" customHeight="1">
      <c r="A907" s="50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</row>
    <row r="908" ht="12.75" customHeight="1">
      <c r="A908" s="50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</row>
    <row r="909" ht="12.75" customHeight="1">
      <c r="A909" s="50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</row>
    <row r="910" ht="12.75" customHeight="1">
      <c r="A910" s="50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</row>
    <row r="911" ht="12.75" customHeight="1">
      <c r="A911" s="50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</row>
    <row r="912" ht="12.75" customHeight="1">
      <c r="A912" s="50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</row>
    <row r="913" ht="12.75" customHeight="1">
      <c r="A913" s="50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</row>
    <row r="914" ht="12.75" customHeight="1">
      <c r="A914" s="50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</row>
    <row r="915" ht="12.75" customHeight="1">
      <c r="A915" s="50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</row>
    <row r="916" ht="12.75" customHeight="1">
      <c r="A916" s="50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</row>
    <row r="917" ht="12.75" customHeight="1">
      <c r="A917" s="50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</row>
    <row r="918" ht="12.75" customHeight="1">
      <c r="A918" s="50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</row>
    <row r="919" ht="12.75" customHeight="1">
      <c r="A919" s="50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</row>
    <row r="920" ht="12.75" customHeight="1">
      <c r="A920" s="50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</row>
    <row r="921" ht="12.75" customHeight="1">
      <c r="A921" s="50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</row>
    <row r="922" ht="12.75" customHeight="1">
      <c r="A922" s="50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</row>
    <row r="923" ht="12.75" customHeight="1">
      <c r="A923" s="50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</row>
    <row r="924" ht="12.75" customHeight="1">
      <c r="A924" s="50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</row>
    <row r="925" ht="12.75" customHeight="1">
      <c r="A925" s="50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</row>
    <row r="926" ht="12.75" customHeight="1">
      <c r="A926" s="50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</row>
    <row r="927" ht="12.75" customHeight="1">
      <c r="A927" s="50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</row>
    <row r="928" ht="12.75" customHeight="1">
      <c r="A928" s="50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</row>
    <row r="929" ht="12.75" customHeight="1">
      <c r="A929" s="50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</row>
    <row r="930" ht="12.75" customHeight="1">
      <c r="A930" s="50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</row>
    <row r="931" ht="12.75" customHeight="1">
      <c r="A931" s="50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</row>
    <row r="932" ht="12.75" customHeight="1">
      <c r="A932" s="50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</row>
    <row r="933" ht="12.75" customHeight="1">
      <c r="A933" s="50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</row>
    <row r="934" ht="12.75" customHeight="1">
      <c r="A934" s="50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</row>
    <row r="935" ht="12.75" customHeight="1">
      <c r="A935" s="50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</row>
    <row r="936" ht="12.75" customHeight="1">
      <c r="A936" s="50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</row>
    <row r="937" ht="12.75" customHeight="1">
      <c r="A937" s="50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</row>
    <row r="938" ht="12.75" customHeight="1">
      <c r="A938" s="50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</row>
    <row r="939" ht="12.75" customHeight="1">
      <c r="A939" s="50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</row>
    <row r="940" ht="12.75" customHeight="1">
      <c r="A940" s="50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</row>
    <row r="941" ht="12.75" customHeight="1">
      <c r="A941" s="50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</row>
    <row r="942" ht="12.75" customHeight="1">
      <c r="A942" s="50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</row>
    <row r="943" ht="12.75" customHeight="1">
      <c r="A943" s="50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</row>
    <row r="944" ht="12.75" customHeight="1">
      <c r="A944" s="50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</row>
    <row r="945" ht="12.75" customHeight="1">
      <c r="A945" s="50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</row>
    <row r="946" ht="12.75" customHeight="1">
      <c r="A946" s="50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</row>
    <row r="947" ht="12.75" customHeight="1">
      <c r="A947" s="50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</row>
    <row r="948" ht="12.75" customHeight="1">
      <c r="A948" s="50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</row>
    <row r="949" ht="12.75" customHeight="1">
      <c r="A949" s="50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</row>
    <row r="950" ht="12.75" customHeight="1">
      <c r="A950" s="50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</row>
    <row r="951" ht="12.75" customHeight="1">
      <c r="A951" s="50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</row>
    <row r="952" ht="12.75" customHeight="1">
      <c r="A952" s="50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</row>
    <row r="953" ht="12.75" customHeight="1">
      <c r="A953" s="50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</row>
    <row r="954" ht="12.75" customHeight="1">
      <c r="A954" s="50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</row>
    <row r="955" ht="12.75" customHeight="1">
      <c r="A955" s="50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</row>
    <row r="956" ht="12.75" customHeight="1">
      <c r="A956" s="50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</row>
    <row r="957" ht="12.75" customHeight="1">
      <c r="A957" s="50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</row>
    <row r="958" ht="12.75" customHeight="1">
      <c r="A958" s="50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</row>
    <row r="959" ht="12.75" customHeight="1">
      <c r="A959" s="50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</row>
    <row r="960" ht="12.75" customHeight="1">
      <c r="A960" s="50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</row>
    <row r="961" ht="12.75" customHeight="1">
      <c r="A961" s="50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</row>
    <row r="962" ht="12.75" customHeight="1">
      <c r="A962" s="50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</row>
    <row r="963" ht="12.75" customHeight="1">
      <c r="A963" s="50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</row>
    <row r="964" ht="12.75" customHeight="1">
      <c r="A964" s="50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</row>
    <row r="965" ht="12.75" customHeight="1">
      <c r="A965" s="50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</row>
    <row r="966" ht="12.75" customHeight="1">
      <c r="A966" s="50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</row>
    <row r="967" ht="12.75" customHeight="1">
      <c r="A967" s="50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</row>
    <row r="968" ht="12.75" customHeight="1">
      <c r="A968" s="50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</row>
    <row r="969" ht="12.75" customHeight="1">
      <c r="A969" s="50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</row>
    <row r="970" ht="12.75" customHeight="1">
      <c r="A970" s="50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</row>
    <row r="971" ht="12.75" customHeight="1">
      <c r="A971" s="50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</row>
    <row r="972" ht="12.75" customHeight="1">
      <c r="A972" s="50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</row>
    <row r="973" ht="12.75" customHeight="1">
      <c r="A973" s="50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</row>
    <row r="974" ht="12.75" customHeight="1">
      <c r="A974" s="50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</row>
    <row r="975" ht="12.75" customHeight="1">
      <c r="A975" s="50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</row>
    <row r="976" ht="12.75" customHeight="1">
      <c r="A976" s="50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</row>
    <row r="977" ht="12.75" customHeight="1">
      <c r="A977" s="50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</row>
    <row r="978" ht="12.75" customHeight="1">
      <c r="A978" s="50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</row>
    <row r="979" ht="12.75" customHeight="1">
      <c r="A979" s="50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</row>
    <row r="980" ht="12.75" customHeight="1">
      <c r="A980" s="50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</row>
    <row r="981" ht="12.75" customHeight="1">
      <c r="A981" s="50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</row>
    <row r="982" ht="12.75" customHeight="1">
      <c r="A982" s="50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</row>
    <row r="983" ht="12.75" customHeight="1">
      <c r="A983" s="50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</row>
    <row r="984" ht="12.75" customHeight="1">
      <c r="A984" s="50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</row>
    <row r="985" ht="12.75" customHeight="1">
      <c r="A985" s="50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</row>
    <row r="986" ht="12.75" customHeight="1">
      <c r="A986" s="50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</row>
    <row r="987" ht="12.75" customHeight="1">
      <c r="A987" s="50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</row>
    <row r="988" ht="12.75" customHeight="1">
      <c r="A988" s="50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</row>
    <row r="989" ht="12.75" customHeight="1">
      <c r="A989" s="50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</row>
    <row r="990" ht="12.75" customHeight="1">
      <c r="A990" s="50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</row>
    <row r="991" ht="12.75" customHeight="1">
      <c r="A991" s="50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</row>
    <row r="992" ht="12.75" customHeight="1">
      <c r="A992" s="50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</row>
    <row r="993" ht="12.75" customHeight="1">
      <c r="A993" s="50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</row>
    <row r="994" ht="12.75" customHeight="1">
      <c r="A994" s="50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</row>
    <row r="995" ht="12.75" customHeight="1">
      <c r="A995" s="50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</row>
    <row r="996" ht="12.75" customHeight="1">
      <c r="A996" s="50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</row>
    <row r="997" ht="12.75" customHeight="1">
      <c r="A997" s="50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</row>
    <row r="998" ht="12.75" customHeight="1">
      <c r="A998" s="50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</row>
    <row r="999" ht="12.75" customHeight="1">
      <c r="A999" s="50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</row>
    <row r="1000" ht="12.75" customHeight="1">
      <c r="A1000" s="50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</row>
  </sheetData>
  <mergeCells count="3">
    <mergeCell ref="A7:N7"/>
    <mergeCell ref="A8:N8"/>
    <mergeCell ref="A39:M39"/>
  </mergeCells>
  <printOptions/>
  <pageMargins bottom="0.75" footer="0.0" header="0.0" left="0.0" right="0.0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6" width="14.71"/>
    <col customWidth="1" min="7" max="7" width="18.71"/>
    <col customWidth="1" min="8" max="14" width="14.71"/>
    <col customWidth="1" min="15" max="17" width="9.14"/>
    <col customWidth="1" min="18" max="26" width="8.71"/>
  </cols>
  <sheetData>
    <row r="1" ht="12.0" customHeight="1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2.0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2.0" customHeight="1">
      <c r="A3" s="4"/>
      <c r="B3" s="51"/>
      <c r="C3" s="51"/>
      <c r="D3" s="51"/>
      <c r="E3" s="3" t="s">
        <v>0</v>
      </c>
      <c r="F3" s="51"/>
      <c r="G3" s="51"/>
      <c r="H3" s="51"/>
      <c r="I3" s="51"/>
      <c r="J3" s="51"/>
      <c r="K3" s="51"/>
      <c r="L3" s="51"/>
      <c r="M3" s="51"/>
      <c r="N3" s="51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2.0" customHeight="1">
      <c r="A4" s="4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12.0" customHeight="1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2.0" customHeight="1">
      <c r="A6" s="94" t="s">
        <v>21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12.0" customHeight="1">
      <c r="A7" s="95" t="s">
        <v>2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2.0" customHeight="1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2.0" customHeight="1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2.0" customHeight="1">
      <c r="A10" s="83" t="s">
        <v>101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7"/>
      <c r="O10" s="98"/>
      <c r="P10" s="74"/>
      <c r="Q10" s="73"/>
      <c r="R10" s="99"/>
      <c r="S10" s="99"/>
      <c r="T10" s="99"/>
      <c r="U10" s="99"/>
      <c r="V10" s="99"/>
      <c r="W10" s="99"/>
      <c r="X10" s="99"/>
      <c r="Y10" s="99"/>
      <c r="Z10" s="99"/>
    </row>
    <row r="11" ht="12.0" customHeight="1">
      <c r="A11" s="25" t="s">
        <v>75</v>
      </c>
      <c r="B11" s="100">
        <v>76659.13274293212</v>
      </c>
      <c r="C11" s="100">
        <v>67593.07947424806</v>
      </c>
      <c r="D11" s="100">
        <v>74463.4412524883</v>
      </c>
      <c r="E11" s="100">
        <v>65441.01455564622</v>
      </c>
      <c r="F11" s="100">
        <v>70817.84582652966</v>
      </c>
      <c r="G11" s="100">
        <v>67561.5562821801</v>
      </c>
      <c r="H11" s="100">
        <v>61793.60077644211</v>
      </c>
      <c r="I11" s="100">
        <v>50780.97207189315</v>
      </c>
      <c r="J11" s="100">
        <v>46633.33803560112</v>
      </c>
      <c r="K11" s="100">
        <v>37561.51487450153</v>
      </c>
      <c r="L11" s="100">
        <v>29836.440506354862</v>
      </c>
      <c r="M11" s="100">
        <v>38274.23790549372</v>
      </c>
      <c r="N11" s="101">
        <f>SUM(B11:M11)</f>
        <v>687416.1743</v>
      </c>
      <c r="O11" s="98"/>
      <c r="P11" s="75"/>
      <c r="Q11" s="73"/>
      <c r="R11" s="99"/>
      <c r="S11" s="99"/>
      <c r="T11" s="99"/>
      <c r="U11" s="99"/>
      <c r="V11" s="99"/>
      <c r="W11" s="99"/>
      <c r="X11" s="99"/>
      <c r="Y11" s="99"/>
      <c r="Z11" s="99"/>
    </row>
    <row r="12" ht="12.0" customHeight="1">
      <c r="A12" s="87" t="s">
        <v>76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1"/>
      <c r="O12" s="70"/>
      <c r="P12" s="51"/>
      <c r="Q12" s="51"/>
      <c r="R12" s="70"/>
      <c r="S12" s="70"/>
      <c r="T12" s="70"/>
      <c r="U12" s="70"/>
      <c r="V12" s="70"/>
      <c r="W12" s="70"/>
      <c r="X12" s="70"/>
      <c r="Y12" s="70"/>
      <c r="Z12" s="70"/>
    </row>
    <row r="13" ht="12.0" customHeight="1">
      <c r="A13" s="33" t="s">
        <v>31</v>
      </c>
      <c r="B13" s="102">
        <v>3438.817930388334</v>
      </c>
      <c r="C13" s="100">
        <v>3279.9394322983867</v>
      </c>
      <c r="D13" s="100">
        <v>2976.4697361930625</v>
      </c>
      <c r="E13" s="100">
        <v>3786.080591032223</v>
      </c>
      <c r="F13" s="100">
        <v>3188.8700399003797</v>
      </c>
      <c r="G13" s="100">
        <v>3774.4554624783927</v>
      </c>
      <c r="H13" s="100">
        <v>3482.645224085367</v>
      </c>
      <c r="I13" s="100">
        <v>2655.857343186188</v>
      </c>
      <c r="J13" s="100">
        <v>3101.625064266255</v>
      </c>
      <c r="K13" s="100">
        <v>2187.8528725430256</v>
      </c>
      <c r="L13" s="100">
        <v>1977.7077305236223</v>
      </c>
      <c r="M13" s="100">
        <v>2720.2253383</v>
      </c>
      <c r="N13" s="101">
        <f t="shared" ref="N13:N22" si="1">SUM(B13:M13)</f>
        <v>36570.54677</v>
      </c>
      <c r="O13" s="70"/>
      <c r="P13" s="51"/>
      <c r="Q13" s="51"/>
      <c r="R13" s="70"/>
      <c r="S13" s="70"/>
      <c r="T13" s="70"/>
      <c r="U13" s="70"/>
      <c r="V13" s="70"/>
      <c r="W13" s="70"/>
      <c r="X13" s="70"/>
      <c r="Y13" s="70"/>
      <c r="Z13" s="70"/>
    </row>
    <row r="14" ht="12.0" customHeight="1">
      <c r="A14" s="33" t="s">
        <v>32</v>
      </c>
      <c r="B14" s="102">
        <v>0.0</v>
      </c>
      <c r="C14" s="100">
        <v>0.0</v>
      </c>
      <c r="D14" s="100">
        <v>414.382165471</v>
      </c>
      <c r="E14" s="100">
        <v>959.6540898767321</v>
      </c>
      <c r="F14" s="100">
        <v>305.764870433</v>
      </c>
      <c r="G14" s="100">
        <v>130.49608066800002</v>
      </c>
      <c r="H14" s="100">
        <v>221.693369904</v>
      </c>
      <c r="I14" s="100">
        <v>82.681347783</v>
      </c>
      <c r="J14" s="100">
        <v>0.0</v>
      </c>
      <c r="K14" s="100">
        <v>0.0</v>
      </c>
      <c r="L14" s="100">
        <v>0.0</v>
      </c>
      <c r="M14" s="100">
        <v>186.48</v>
      </c>
      <c r="N14" s="101">
        <f t="shared" si="1"/>
        <v>2301.151924</v>
      </c>
      <c r="O14" s="70"/>
      <c r="P14" s="51"/>
      <c r="Q14" s="51"/>
      <c r="R14" s="70"/>
      <c r="S14" s="70"/>
      <c r="T14" s="70"/>
      <c r="U14" s="70"/>
      <c r="V14" s="70"/>
      <c r="W14" s="70"/>
      <c r="X14" s="70"/>
      <c r="Y14" s="70"/>
      <c r="Z14" s="70"/>
    </row>
    <row r="15" ht="12.0" customHeight="1">
      <c r="A15" s="33" t="s">
        <v>33</v>
      </c>
      <c r="B15" s="102">
        <v>273.1987233</v>
      </c>
      <c r="C15" s="100">
        <v>406.1313725</v>
      </c>
      <c r="D15" s="100">
        <v>422.0451583</v>
      </c>
      <c r="E15" s="100">
        <v>431.975634088</v>
      </c>
      <c r="F15" s="100">
        <v>612.139102657</v>
      </c>
      <c r="G15" s="100">
        <v>353.046415455</v>
      </c>
      <c r="H15" s="100">
        <v>0.0</v>
      </c>
      <c r="I15" s="100">
        <v>136.5039052</v>
      </c>
      <c r="J15" s="100">
        <v>167.3562917</v>
      </c>
      <c r="K15" s="100">
        <v>230.56246729100002</v>
      </c>
      <c r="L15" s="100">
        <v>438.1445311752831</v>
      </c>
      <c r="M15" s="100">
        <v>1120.9356224408539</v>
      </c>
      <c r="N15" s="101">
        <f t="shared" si="1"/>
        <v>4592.039224</v>
      </c>
      <c r="O15" s="70"/>
      <c r="P15" s="51"/>
      <c r="Q15" s="51"/>
      <c r="R15" s="70"/>
      <c r="S15" s="70"/>
      <c r="T15" s="70"/>
      <c r="U15" s="70"/>
      <c r="V15" s="70"/>
      <c r="W15" s="70"/>
      <c r="X15" s="70"/>
      <c r="Y15" s="70"/>
      <c r="Z15" s="70"/>
    </row>
    <row r="16" ht="12.0" customHeight="1">
      <c r="A16" s="33" t="s">
        <v>34</v>
      </c>
      <c r="B16" s="102">
        <v>65.6102692</v>
      </c>
      <c r="C16" s="102">
        <v>31.7400086</v>
      </c>
      <c r="D16" s="102">
        <v>0.0</v>
      </c>
      <c r="E16" s="102">
        <v>33.2627176</v>
      </c>
      <c r="F16" s="102">
        <v>87.6575924</v>
      </c>
      <c r="G16" s="102">
        <v>123.3708939</v>
      </c>
      <c r="H16" s="102">
        <v>74.7313226</v>
      </c>
      <c r="I16" s="102">
        <v>27.5711567</v>
      </c>
      <c r="J16" s="102">
        <v>69.362377</v>
      </c>
      <c r="K16" s="102">
        <v>72.3695483</v>
      </c>
      <c r="L16" s="102">
        <v>39.158876</v>
      </c>
      <c r="M16" s="102">
        <v>81.2465135</v>
      </c>
      <c r="N16" s="101">
        <f t="shared" si="1"/>
        <v>706.0812758</v>
      </c>
      <c r="O16" s="70"/>
      <c r="P16" s="51"/>
      <c r="Q16" s="51"/>
      <c r="R16" s="70"/>
      <c r="S16" s="70"/>
      <c r="T16" s="70"/>
      <c r="U16" s="70"/>
      <c r="V16" s="70"/>
      <c r="W16" s="70"/>
      <c r="X16" s="70"/>
      <c r="Y16" s="70"/>
      <c r="Z16" s="70"/>
    </row>
    <row r="17" ht="12.0" customHeight="1">
      <c r="A17" s="33" t="s">
        <v>35</v>
      </c>
      <c r="B17" s="102">
        <v>0.0</v>
      </c>
      <c r="C17" s="100">
        <v>171.710275188</v>
      </c>
      <c r="D17" s="100">
        <v>0.0</v>
      </c>
      <c r="E17" s="100">
        <v>0.0</v>
      </c>
      <c r="F17" s="100">
        <v>0.0</v>
      </c>
      <c r="G17" s="100">
        <v>0.0</v>
      </c>
      <c r="H17" s="100">
        <v>0.0</v>
      </c>
      <c r="I17" s="100">
        <v>0.0</v>
      </c>
      <c r="J17" s="100">
        <v>0.0</v>
      </c>
      <c r="K17" s="100">
        <v>0.0</v>
      </c>
      <c r="L17" s="100">
        <v>0.0</v>
      </c>
      <c r="M17" s="100">
        <v>0.0</v>
      </c>
      <c r="N17" s="101">
        <f t="shared" si="1"/>
        <v>171.7102752</v>
      </c>
      <c r="O17" s="70"/>
      <c r="P17" s="51"/>
      <c r="Q17" s="51"/>
      <c r="R17" s="70"/>
      <c r="S17" s="70"/>
      <c r="T17" s="70"/>
      <c r="U17" s="70"/>
      <c r="V17" s="70"/>
      <c r="W17" s="70"/>
      <c r="X17" s="70"/>
      <c r="Y17" s="70"/>
      <c r="Z17" s="70"/>
    </row>
    <row r="18" ht="12.0" customHeight="1">
      <c r="A18" s="33" t="s">
        <v>36</v>
      </c>
      <c r="B18" s="102">
        <v>0.8344737</v>
      </c>
      <c r="C18" s="100">
        <v>36.8076538</v>
      </c>
      <c r="D18" s="100">
        <v>14.5643167</v>
      </c>
      <c r="E18" s="100">
        <v>291.99389959999996</v>
      </c>
      <c r="F18" s="100">
        <v>8.0312019</v>
      </c>
      <c r="G18" s="100">
        <v>29.9729743</v>
      </c>
      <c r="H18" s="100">
        <v>56.427879</v>
      </c>
      <c r="I18" s="100">
        <v>57.3902163</v>
      </c>
      <c r="J18" s="100">
        <v>49.6109522</v>
      </c>
      <c r="K18" s="100">
        <v>18.5957643</v>
      </c>
      <c r="L18" s="100">
        <v>37.592841</v>
      </c>
      <c r="M18" s="100">
        <v>67.7269877</v>
      </c>
      <c r="N18" s="101">
        <f t="shared" si="1"/>
        <v>669.5491605</v>
      </c>
      <c r="O18" s="70"/>
      <c r="P18" s="51"/>
      <c r="Q18" s="51"/>
      <c r="R18" s="70"/>
      <c r="S18" s="70"/>
      <c r="T18" s="70"/>
      <c r="U18" s="70"/>
      <c r="V18" s="70"/>
      <c r="W18" s="70"/>
      <c r="X18" s="70"/>
      <c r="Y18" s="70"/>
      <c r="Z18" s="70"/>
    </row>
    <row r="19" ht="12.0" customHeight="1">
      <c r="A19" s="33" t="s">
        <v>37</v>
      </c>
      <c r="B19" s="102">
        <v>1656.6284922</v>
      </c>
      <c r="C19" s="100">
        <v>2010.3654363</v>
      </c>
      <c r="D19" s="100">
        <v>755.1242371</v>
      </c>
      <c r="E19" s="100">
        <v>1001.7432029</v>
      </c>
      <c r="F19" s="100">
        <v>1428.7934782</v>
      </c>
      <c r="G19" s="100">
        <v>916.2564011</v>
      </c>
      <c r="H19" s="100">
        <v>1142.4095372</v>
      </c>
      <c r="I19" s="100">
        <v>950.286271</v>
      </c>
      <c r="J19" s="100">
        <v>754.4980348</v>
      </c>
      <c r="K19" s="100">
        <v>552.1076949</v>
      </c>
      <c r="L19" s="100">
        <v>735.7609706</v>
      </c>
      <c r="M19" s="100">
        <v>797.5533104</v>
      </c>
      <c r="N19" s="101">
        <f t="shared" si="1"/>
        <v>12701.52707</v>
      </c>
      <c r="O19" s="70"/>
      <c r="P19" s="51"/>
      <c r="Q19" s="51"/>
      <c r="R19" s="70"/>
      <c r="S19" s="70"/>
      <c r="T19" s="70"/>
      <c r="U19" s="70"/>
      <c r="V19" s="70"/>
      <c r="W19" s="70"/>
      <c r="X19" s="70"/>
      <c r="Y19" s="70"/>
      <c r="Z19" s="70"/>
    </row>
    <row r="20" ht="12.0" customHeight="1">
      <c r="A20" s="33" t="s">
        <v>38</v>
      </c>
      <c r="B20" s="102">
        <v>759.4968996</v>
      </c>
      <c r="C20" s="100">
        <v>578.130071</v>
      </c>
      <c r="D20" s="100">
        <v>570.1931708</v>
      </c>
      <c r="E20" s="100">
        <v>93.8329227</v>
      </c>
      <c r="F20" s="100">
        <v>397.8907999</v>
      </c>
      <c r="G20" s="100">
        <v>294.7524017</v>
      </c>
      <c r="H20" s="100">
        <v>46.8970895</v>
      </c>
      <c r="I20" s="100">
        <v>212.9913394</v>
      </c>
      <c r="J20" s="100">
        <v>89.2514488</v>
      </c>
      <c r="K20" s="100">
        <v>352.459655118</v>
      </c>
      <c r="L20" s="100">
        <v>124.544147897</v>
      </c>
      <c r="M20" s="100">
        <v>138.4911738</v>
      </c>
      <c r="N20" s="101">
        <f t="shared" si="1"/>
        <v>3658.93112</v>
      </c>
      <c r="O20" s="70"/>
      <c r="P20" s="51"/>
      <c r="Q20" s="51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33" t="s">
        <v>39</v>
      </c>
      <c r="B21" s="102">
        <v>119.5049444</v>
      </c>
      <c r="C21" s="100">
        <v>129.2245011</v>
      </c>
      <c r="D21" s="100">
        <v>100.2700016</v>
      </c>
      <c r="E21" s="100">
        <v>51.1229508</v>
      </c>
      <c r="F21" s="100">
        <v>85.5937039</v>
      </c>
      <c r="G21" s="100">
        <v>65.8430468</v>
      </c>
      <c r="H21" s="100">
        <v>99.2476459</v>
      </c>
      <c r="I21" s="100">
        <v>184.8747118</v>
      </c>
      <c r="J21" s="100">
        <v>283.2733439</v>
      </c>
      <c r="K21" s="100">
        <v>149.073447</v>
      </c>
      <c r="L21" s="100">
        <v>159.781063</v>
      </c>
      <c r="M21" s="100">
        <v>195.3539301</v>
      </c>
      <c r="N21" s="101">
        <f t="shared" si="1"/>
        <v>1623.16329</v>
      </c>
      <c r="O21" s="70"/>
      <c r="P21" s="51"/>
      <c r="Q21" s="51"/>
      <c r="R21" s="70"/>
      <c r="S21" s="70"/>
      <c r="T21" s="70"/>
      <c r="U21" s="70"/>
      <c r="V21" s="70"/>
      <c r="W21" s="70"/>
      <c r="X21" s="70"/>
      <c r="Y21" s="70"/>
      <c r="Z21" s="70"/>
    </row>
    <row r="22" ht="12.0" customHeight="1">
      <c r="A22" s="33" t="s">
        <v>108</v>
      </c>
      <c r="B22" s="102">
        <v>937.7489142389381</v>
      </c>
      <c r="C22" s="100">
        <v>711.6995663933119</v>
      </c>
      <c r="D22" s="100">
        <v>1088.5347958890425</v>
      </c>
      <c r="E22" s="100">
        <v>1028.0337494649852</v>
      </c>
      <c r="F22" s="100">
        <v>987.7448344873</v>
      </c>
      <c r="G22" s="100">
        <v>1277.9135375031244</v>
      </c>
      <c r="H22" s="100">
        <v>813.0766022314689</v>
      </c>
      <c r="I22" s="100">
        <v>1513.1770579793836</v>
      </c>
      <c r="J22" s="100">
        <v>729.1917406789656</v>
      </c>
      <c r="K22" s="100">
        <v>835.4293686408965</v>
      </c>
      <c r="L22" s="100">
        <v>848.5290465133357</v>
      </c>
      <c r="M22" s="100">
        <v>878.3572909274255</v>
      </c>
      <c r="N22" s="101">
        <f t="shared" si="1"/>
        <v>11649.4365</v>
      </c>
      <c r="O22" s="70"/>
      <c r="P22" s="51"/>
      <c r="Q22" s="51"/>
      <c r="R22" s="70"/>
      <c r="S22" s="70"/>
      <c r="T22" s="70"/>
      <c r="U22" s="70"/>
      <c r="V22" s="70"/>
      <c r="W22" s="70"/>
      <c r="X22" s="70"/>
      <c r="Y22" s="70"/>
      <c r="Z22" s="70"/>
    </row>
    <row r="23" ht="12.0" customHeight="1">
      <c r="A23" s="88" t="s">
        <v>103</v>
      </c>
      <c r="B23" s="63">
        <f t="shared" ref="B23:N23" si="2">SUM(B13:B22)</f>
        <v>7251.840647</v>
      </c>
      <c r="C23" s="63">
        <f t="shared" si="2"/>
        <v>7355.748317</v>
      </c>
      <c r="D23" s="63">
        <f t="shared" si="2"/>
        <v>6341.583582</v>
      </c>
      <c r="E23" s="63">
        <f t="shared" si="2"/>
        <v>7677.699758</v>
      </c>
      <c r="F23" s="63">
        <f t="shared" si="2"/>
        <v>7102.485624</v>
      </c>
      <c r="G23" s="63">
        <f t="shared" si="2"/>
        <v>6966.107214</v>
      </c>
      <c r="H23" s="63">
        <f t="shared" si="2"/>
        <v>5937.12867</v>
      </c>
      <c r="I23" s="63">
        <f t="shared" si="2"/>
        <v>5821.333349</v>
      </c>
      <c r="J23" s="63">
        <f t="shared" si="2"/>
        <v>5244.169253</v>
      </c>
      <c r="K23" s="63">
        <f t="shared" si="2"/>
        <v>4398.450818</v>
      </c>
      <c r="L23" s="63">
        <f t="shared" si="2"/>
        <v>4361.219207</v>
      </c>
      <c r="M23" s="63">
        <f t="shared" si="2"/>
        <v>6186.370167</v>
      </c>
      <c r="N23" s="63">
        <f t="shared" si="2"/>
        <v>74644.13661</v>
      </c>
      <c r="O23" s="70"/>
      <c r="P23" s="51"/>
      <c r="Q23" s="51"/>
      <c r="R23" s="70"/>
      <c r="S23" s="70"/>
      <c r="T23" s="70"/>
      <c r="U23" s="70"/>
      <c r="V23" s="70"/>
      <c r="W23" s="70"/>
      <c r="X23" s="70"/>
      <c r="Y23" s="70"/>
      <c r="Z23" s="70"/>
    </row>
    <row r="24" ht="12.0" customHeight="1">
      <c r="A24" s="89" t="s">
        <v>80</v>
      </c>
      <c r="B24" s="63">
        <f t="shared" ref="B24:F24" si="3">+B23+B11</f>
        <v>83910.97339</v>
      </c>
      <c r="C24" s="63">
        <f t="shared" si="3"/>
        <v>74948.82779</v>
      </c>
      <c r="D24" s="63">
        <f t="shared" si="3"/>
        <v>80805.02483</v>
      </c>
      <c r="E24" s="63">
        <f t="shared" si="3"/>
        <v>73118.71431</v>
      </c>
      <c r="F24" s="63">
        <f t="shared" si="3"/>
        <v>77920.33145</v>
      </c>
      <c r="G24" s="63">
        <f t="shared" ref="G24:N24" si="4">+G11+G23</f>
        <v>74527.6635</v>
      </c>
      <c r="H24" s="63">
        <f t="shared" si="4"/>
        <v>67730.72945</v>
      </c>
      <c r="I24" s="63">
        <f t="shared" si="4"/>
        <v>56602.30542</v>
      </c>
      <c r="J24" s="63">
        <f t="shared" si="4"/>
        <v>51877.50729</v>
      </c>
      <c r="K24" s="63">
        <f t="shared" si="4"/>
        <v>41959.96569</v>
      </c>
      <c r="L24" s="63">
        <f t="shared" si="4"/>
        <v>34197.65971</v>
      </c>
      <c r="M24" s="63">
        <f t="shared" si="4"/>
        <v>44460.60807</v>
      </c>
      <c r="N24" s="63">
        <f t="shared" si="4"/>
        <v>762060.3109</v>
      </c>
      <c r="O24" s="70"/>
      <c r="P24" s="51"/>
      <c r="Q24" s="51"/>
      <c r="R24" s="70"/>
      <c r="S24" s="70"/>
      <c r="T24" s="70"/>
      <c r="U24" s="70"/>
      <c r="V24" s="70"/>
      <c r="W24" s="70"/>
      <c r="X24" s="70"/>
      <c r="Y24" s="70"/>
      <c r="Z24" s="70"/>
    </row>
    <row r="25" ht="12.0" customHeight="1">
      <c r="A25" s="103" t="s">
        <v>104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5"/>
      <c r="O25" s="70"/>
      <c r="P25" s="51"/>
      <c r="Q25" s="51"/>
      <c r="R25" s="70"/>
      <c r="S25" s="70"/>
      <c r="T25" s="70"/>
      <c r="U25" s="70"/>
      <c r="V25" s="70"/>
      <c r="W25" s="70"/>
      <c r="X25" s="70"/>
      <c r="Y25" s="70"/>
      <c r="Z25" s="70"/>
    </row>
    <row r="26" ht="12.0" customHeight="1">
      <c r="A26" s="33" t="s">
        <v>31</v>
      </c>
      <c r="B26" s="31">
        <v>143.71</v>
      </c>
      <c r="C26" s="31">
        <v>138.14</v>
      </c>
      <c r="D26" s="31">
        <v>110.9013085</v>
      </c>
      <c r="E26" s="31">
        <v>131.2</v>
      </c>
      <c r="F26" s="31">
        <v>104.53</v>
      </c>
      <c r="G26" s="31">
        <v>135.69</v>
      </c>
      <c r="H26" s="31">
        <v>114.05</v>
      </c>
      <c r="I26" s="31">
        <v>121.5</v>
      </c>
      <c r="J26" s="31">
        <v>98.38</v>
      </c>
      <c r="K26" s="31">
        <v>129.14</v>
      </c>
      <c r="L26" s="31">
        <v>109.8</v>
      </c>
      <c r="M26" s="31">
        <v>118.28</v>
      </c>
      <c r="N26" s="25">
        <f t="shared" ref="N26:N36" si="5">SUM(B26:M26)</f>
        <v>1455.321309</v>
      </c>
      <c r="O26" s="70"/>
      <c r="P26" s="51"/>
      <c r="Q26" s="51"/>
      <c r="R26" s="70"/>
      <c r="S26" s="70"/>
      <c r="T26" s="70"/>
      <c r="U26" s="70"/>
      <c r="V26" s="70"/>
      <c r="W26" s="70"/>
      <c r="X26" s="70"/>
      <c r="Y26" s="70"/>
      <c r="Z26" s="70"/>
    </row>
    <row r="27" ht="12.0" customHeight="1">
      <c r="A27" s="33" t="s">
        <v>81</v>
      </c>
      <c r="B27" s="31">
        <v>7606.593181565785</v>
      </c>
      <c r="C27" s="31">
        <v>9012.953924647749</v>
      </c>
      <c r="D27" s="31">
        <v>8994.153805158001</v>
      </c>
      <c r="E27" s="31">
        <v>7636.8542168410095</v>
      </c>
      <c r="F27" s="31">
        <v>8427.147383085809</v>
      </c>
      <c r="G27" s="31">
        <v>7462.039138016762</v>
      </c>
      <c r="H27" s="31">
        <v>7245.806400677142</v>
      </c>
      <c r="I27" s="31">
        <v>6217.772147563861</v>
      </c>
      <c r="J27" s="31">
        <v>6277.372306651001</v>
      </c>
      <c r="K27" s="31">
        <v>4200.107721038999</v>
      </c>
      <c r="L27" s="31">
        <v>4776.060576686</v>
      </c>
      <c r="M27" s="31">
        <v>4114.16862835</v>
      </c>
      <c r="N27" s="25">
        <f t="shared" si="5"/>
        <v>81971.02943</v>
      </c>
      <c r="O27" s="70"/>
      <c r="P27" s="51"/>
      <c r="Q27" s="51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33" t="s">
        <v>33</v>
      </c>
      <c r="B28" s="31">
        <v>3044.3940783241455</v>
      </c>
      <c r="C28" s="31">
        <v>2939.492109553271</v>
      </c>
      <c r="D28" s="31">
        <v>3970.588930198445</v>
      </c>
      <c r="E28" s="31">
        <v>3356.3719542972053</v>
      </c>
      <c r="F28" s="31">
        <v>3125.135104475234</v>
      </c>
      <c r="G28" s="31">
        <v>3661.1682789356155</v>
      </c>
      <c r="H28" s="31">
        <v>2318.0932267430917</v>
      </c>
      <c r="I28" s="31">
        <v>2980.7433007876753</v>
      </c>
      <c r="J28" s="31">
        <v>1818.3499489416931</v>
      </c>
      <c r="K28" s="31">
        <v>1643.219248489585</v>
      </c>
      <c r="L28" s="31">
        <v>1227.5797949124458</v>
      </c>
      <c r="M28" s="31">
        <v>1533.8635165058963</v>
      </c>
      <c r="N28" s="25">
        <f t="shared" si="5"/>
        <v>31618.99949</v>
      </c>
      <c r="O28" s="70"/>
      <c r="P28" s="51"/>
      <c r="Q28" s="51"/>
      <c r="R28" s="70"/>
      <c r="S28" s="70"/>
      <c r="T28" s="70"/>
      <c r="U28" s="70"/>
      <c r="V28" s="70"/>
      <c r="W28" s="70"/>
      <c r="X28" s="70"/>
      <c r="Y28" s="70"/>
      <c r="Z28" s="70"/>
    </row>
    <row r="29" ht="12.0" customHeight="1">
      <c r="A29" s="90" t="s">
        <v>83</v>
      </c>
      <c r="B29" s="31">
        <v>1342.7700000000002</v>
      </c>
      <c r="C29" s="31">
        <v>2241.61</v>
      </c>
      <c r="D29" s="31">
        <v>1888.1431047</v>
      </c>
      <c r="E29" s="31">
        <v>2258.5164848309996</v>
      </c>
      <c r="F29" s="31">
        <v>1707.283073352</v>
      </c>
      <c r="G29" s="31">
        <v>3295.812987879</v>
      </c>
      <c r="H29" s="31">
        <v>2511.1161827940005</v>
      </c>
      <c r="I29" s="31">
        <v>2609.809300168</v>
      </c>
      <c r="J29" s="31">
        <v>2332.4836734180003</v>
      </c>
      <c r="K29" s="31">
        <v>1563.784027018</v>
      </c>
      <c r="L29" s="31">
        <v>1718.041006052</v>
      </c>
      <c r="M29" s="31">
        <v>1943.535313385</v>
      </c>
      <c r="N29" s="25">
        <f t="shared" si="5"/>
        <v>25412.90515</v>
      </c>
      <c r="O29" s="104"/>
      <c r="P29" s="77"/>
      <c r="Q29" s="51"/>
      <c r="R29" s="70"/>
      <c r="S29" s="70"/>
      <c r="T29" s="70"/>
      <c r="U29" s="70"/>
      <c r="V29" s="70"/>
      <c r="W29" s="70"/>
      <c r="X29" s="70"/>
      <c r="Y29" s="70"/>
      <c r="Z29" s="70"/>
    </row>
    <row r="30" ht="12.0" customHeight="1">
      <c r="A30" s="90" t="s">
        <v>35</v>
      </c>
      <c r="B30" s="31">
        <v>5.6899999999999995</v>
      </c>
      <c r="C30" s="31">
        <v>6.28</v>
      </c>
      <c r="D30" s="31">
        <v>5.1244827</v>
      </c>
      <c r="E30" s="31">
        <v>8.22</v>
      </c>
      <c r="F30" s="31">
        <v>6.96</v>
      </c>
      <c r="G30" s="31">
        <v>8.19</v>
      </c>
      <c r="H30" s="31">
        <v>5.78</v>
      </c>
      <c r="I30" s="31">
        <v>4.9</v>
      </c>
      <c r="J30" s="31">
        <v>6.22</v>
      </c>
      <c r="K30" s="31">
        <v>8.63</v>
      </c>
      <c r="L30" s="31">
        <v>8.0</v>
      </c>
      <c r="M30" s="31">
        <v>7.35</v>
      </c>
      <c r="N30" s="25">
        <f t="shared" si="5"/>
        <v>81.3444827</v>
      </c>
      <c r="O30" s="70"/>
      <c r="P30" s="77"/>
      <c r="Q30" s="51"/>
      <c r="R30" s="70"/>
      <c r="S30" s="70"/>
      <c r="T30" s="70"/>
      <c r="U30" s="70"/>
      <c r="V30" s="70"/>
      <c r="W30" s="70"/>
      <c r="X30" s="70"/>
      <c r="Y30" s="70"/>
      <c r="Z30" s="70"/>
    </row>
    <row r="31" ht="12.0" customHeight="1">
      <c r="A31" s="90" t="s">
        <v>36</v>
      </c>
      <c r="B31" s="31">
        <v>9701.134167133001</v>
      </c>
      <c r="C31" s="31">
        <v>10901.43230686</v>
      </c>
      <c r="D31" s="31">
        <v>11716.612304866</v>
      </c>
      <c r="E31" s="31">
        <v>7300.53392058497</v>
      </c>
      <c r="F31" s="31">
        <v>9940.480386804325</v>
      </c>
      <c r="G31" s="31">
        <v>14220.228421944683</v>
      </c>
      <c r="H31" s="31">
        <v>12807.301253768057</v>
      </c>
      <c r="I31" s="31">
        <v>11204.410636641607</v>
      </c>
      <c r="J31" s="31">
        <v>8326.85322119</v>
      </c>
      <c r="K31" s="31">
        <v>5799.051859624001</v>
      </c>
      <c r="L31" s="31">
        <v>7139.434774447</v>
      </c>
      <c r="M31" s="31">
        <v>6091.556096570002</v>
      </c>
      <c r="N31" s="25">
        <f t="shared" si="5"/>
        <v>115149.0294</v>
      </c>
      <c r="O31" s="70"/>
      <c r="P31" s="77"/>
      <c r="Q31" s="51"/>
      <c r="R31" s="70"/>
      <c r="S31" s="70"/>
      <c r="T31" s="70"/>
      <c r="U31" s="70"/>
      <c r="V31" s="70"/>
      <c r="W31" s="70"/>
      <c r="X31" s="70"/>
      <c r="Y31" s="70"/>
      <c r="Z31" s="70"/>
    </row>
    <row r="32" ht="12.0" customHeight="1">
      <c r="A32" s="90" t="s">
        <v>46</v>
      </c>
      <c r="B32" s="31">
        <v>0.0</v>
      </c>
      <c r="C32" s="31">
        <v>28.37</v>
      </c>
      <c r="D32" s="31">
        <v>0.0</v>
      </c>
      <c r="E32" s="31">
        <v>0.0</v>
      </c>
      <c r="F32" s="31">
        <v>0.0</v>
      </c>
      <c r="G32" s="31">
        <v>0.0</v>
      </c>
      <c r="H32" s="31">
        <v>0.0</v>
      </c>
      <c r="I32" s="31">
        <v>0.0</v>
      </c>
      <c r="J32" s="31">
        <v>0.0</v>
      </c>
      <c r="K32" s="31">
        <v>0.0</v>
      </c>
      <c r="L32" s="31">
        <v>0.0</v>
      </c>
      <c r="M32" s="31">
        <v>0.0</v>
      </c>
      <c r="N32" s="25">
        <f t="shared" si="5"/>
        <v>28.37</v>
      </c>
      <c r="O32" s="70"/>
      <c r="P32" s="77"/>
      <c r="Q32" s="51"/>
      <c r="R32" s="70"/>
      <c r="S32" s="70"/>
      <c r="T32" s="70"/>
      <c r="U32" s="70"/>
      <c r="V32" s="70"/>
      <c r="W32" s="70"/>
      <c r="X32" s="70"/>
      <c r="Y32" s="70"/>
      <c r="Z32" s="70"/>
    </row>
    <row r="33" ht="12.0" customHeight="1">
      <c r="A33" s="90" t="s">
        <v>47</v>
      </c>
      <c r="B33" s="31">
        <v>4.5450626</v>
      </c>
      <c r="C33" s="31">
        <v>10.109111889</v>
      </c>
      <c r="D33" s="31">
        <v>8.766801141</v>
      </c>
      <c r="E33" s="31">
        <v>5.585443465</v>
      </c>
      <c r="F33" s="31">
        <v>6.51726105</v>
      </c>
      <c r="G33" s="31">
        <v>7.418506750000001</v>
      </c>
      <c r="H33" s="31">
        <v>6.8185573999999995</v>
      </c>
      <c r="I33" s="31">
        <v>7.172115721999999</v>
      </c>
      <c r="J33" s="31">
        <v>7.800546769</v>
      </c>
      <c r="K33" s="31">
        <v>19.984858634</v>
      </c>
      <c r="L33" s="31">
        <v>6.378182913</v>
      </c>
      <c r="M33" s="31">
        <v>8.457054287</v>
      </c>
      <c r="N33" s="25">
        <f t="shared" si="5"/>
        <v>99.55350262</v>
      </c>
      <c r="O33" s="70"/>
      <c r="P33" s="77"/>
      <c r="Q33" s="51"/>
      <c r="R33" s="70"/>
      <c r="S33" s="70"/>
      <c r="T33" s="70"/>
      <c r="U33" s="70"/>
      <c r="V33" s="70"/>
      <c r="W33" s="70"/>
      <c r="X33" s="70"/>
      <c r="Y33" s="70"/>
      <c r="Z33" s="70"/>
    </row>
    <row r="34" ht="12.0" customHeight="1">
      <c r="A34" s="90" t="s">
        <v>38</v>
      </c>
      <c r="B34" s="31">
        <v>1244.2649130999998</v>
      </c>
      <c r="C34" s="31">
        <v>1708.1061547130796</v>
      </c>
      <c r="D34" s="31">
        <v>1183.4026325</v>
      </c>
      <c r="E34" s="31">
        <v>1658.5110462122486</v>
      </c>
      <c r="F34" s="31">
        <v>1889.994725</v>
      </c>
      <c r="G34" s="31">
        <v>1651.9019771588632</v>
      </c>
      <c r="H34" s="31">
        <v>1138.7058318260001</v>
      </c>
      <c r="I34" s="31">
        <v>1125.1960377</v>
      </c>
      <c r="J34" s="31">
        <v>1006.42775</v>
      </c>
      <c r="K34" s="31">
        <v>582.1214356</v>
      </c>
      <c r="L34" s="31">
        <v>333.5152251</v>
      </c>
      <c r="M34" s="31">
        <v>728.5811872594401</v>
      </c>
      <c r="N34" s="25">
        <f t="shared" si="5"/>
        <v>14250.72892</v>
      </c>
      <c r="O34" s="70"/>
      <c r="P34" s="77"/>
      <c r="Q34" s="51"/>
      <c r="R34" s="70"/>
      <c r="S34" s="70"/>
      <c r="T34" s="70"/>
      <c r="U34" s="70"/>
      <c r="V34" s="70"/>
      <c r="W34" s="70"/>
      <c r="X34" s="70"/>
      <c r="Y34" s="70"/>
      <c r="Z34" s="70"/>
    </row>
    <row r="35" ht="12.0" customHeight="1">
      <c r="A35" s="90" t="s">
        <v>39</v>
      </c>
      <c r="B35" s="31">
        <v>30.344377899999998</v>
      </c>
      <c r="C35" s="31">
        <v>9.6920678</v>
      </c>
      <c r="D35" s="31">
        <v>35.9019081</v>
      </c>
      <c r="E35" s="31">
        <v>25.8279319</v>
      </c>
      <c r="F35" s="31">
        <v>25.812185665</v>
      </c>
      <c r="G35" s="31">
        <v>0.0</v>
      </c>
      <c r="H35" s="31">
        <v>13.5866011</v>
      </c>
      <c r="I35" s="31">
        <v>25.734002021000002</v>
      </c>
      <c r="J35" s="31">
        <v>23.044105603</v>
      </c>
      <c r="K35" s="31">
        <v>15.786965835</v>
      </c>
      <c r="L35" s="31">
        <v>13.814476895999999</v>
      </c>
      <c r="M35" s="31">
        <v>25.676575417</v>
      </c>
      <c r="N35" s="25">
        <f t="shared" si="5"/>
        <v>245.2211982</v>
      </c>
      <c r="O35" s="70"/>
      <c r="P35" s="77"/>
      <c r="Q35" s="51"/>
      <c r="R35" s="70"/>
      <c r="S35" s="70"/>
      <c r="T35" s="70"/>
      <c r="U35" s="70"/>
      <c r="V35" s="70"/>
      <c r="W35" s="70"/>
      <c r="X35" s="70"/>
      <c r="Y35" s="70"/>
      <c r="Z35" s="70"/>
    </row>
    <row r="36" ht="12.0" customHeight="1">
      <c r="A36" s="31" t="s">
        <v>109</v>
      </c>
      <c r="B36" s="31">
        <v>1795.5087033909986</v>
      </c>
      <c r="C36" s="31">
        <v>1579.7466128479973</v>
      </c>
      <c r="D36" s="31">
        <v>1709.5656408249997</v>
      </c>
      <c r="E36" s="31">
        <v>1643.649252764004</v>
      </c>
      <c r="F36" s="31">
        <v>2174.094040250995</v>
      </c>
      <c r="G36" s="31">
        <v>2006.0302592989974</v>
      </c>
      <c r="H36" s="31">
        <v>1652.4945354960655</v>
      </c>
      <c r="I36" s="31">
        <v>1241.0147993270039</v>
      </c>
      <c r="J36" s="31">
        <v>1293.889374663995</v>
      </c>
      <c r="K36" s="31">
        <v>812.0516374869985</v>
      </c>
      <c r="L36" s="31">
        <v>920.2118342170015</v>
      </c>
      <c r="M36" s="31">
        <v>1439.036230782849</v>
      </c>
      <c r="N36" s="25">
        <f t="shared" si="5"/>
        <v>18267.29292</v>
      </c>
      <c r="O36" s="70"/>
      <c r="P36" s="77"/>
      <c r="Q36" s="51"/>
      <c r="R36" s="70"/>
      <c r="S36" s="70"/>
      <c r="T36" s="70"/>
      <c r="U36" s="70"/>
      <c r="V36" s="70"/>
      <c r="W36" s="70"/>
      <c r="X36" s="70"/>
      <c r="Y36" s="70"/>
      <c r="Z36" s="70"/>
    </row>
    <row r="37" ht="12.0" customHeight="1">
      <c r="A37" s="89" t="s">
        <v>107</v>
      </c>
      <c r="B37" s="63">
        <f t="shared" ref="B37:N37" si="6">SUM(B26:B36)</f>
        <v>24918.95448</v>
      </c>
      <c r="C37" s="63">
        <f t="shared" si="6"/>
        <v>28575.93229</v>
      </c>
      <c r="D37" s="63">
        <f t="shared" si="6"/>
        <v>29623.16092</v>
      </c>
      <c r="E37" s="63">
        <f t="shared" si="6"/>
        <v>24025.27025</v>
      </c>
      <c r="F37" s="63">
        <f t="shared" si="6"/>
        <v>27407.95416</v>
      </c>
      <c r="G37" s="63">
        <f t="shared" si="6"/>
        <v>32448.47957</v>
      </c>
      <c r="H37" s="63">
        <f t="shared" si="6"/>
        <v>27813.75259</v>
      </c>
      <c r="I37" s="63">
        <f t="shared" si="6"/>
        <v>25538.25234</v>
      </c>
      <c r="J37" s="63">
        <f t="shared" si="6"/>
        <v>21190.82093</v>
      </c>
      <c r="K37" s="63">
        <f t="shared" si="6"/>
        <v>14773.87775</v>
      </c>
      <c r="L37" s="63">
        <f t="shared" si="6"/>
        <v>16252.83587</v>
      </c>
      <c r="M37" s="63">
        <f t="shared" si="6"/>
        <v>16010.5046</v>
      </c>
      <c r="N37" s="63">
        <f t="shared" si="6"/>
        <v>288579.7958</v>
      </c>
      <c r="O37" s="70"/>
      <c r="P37" s="77"/>
      <c r="Q37" s="51"/>
      <c r="R37" s="70"/>
      <c r="S37" s="70"/>
      <c r="T37" s="70"/>
      <c r="U37" s="70"/>
      <c r="V37" s="70"/>
      <c r="W37" s="70"/>
      <c r="X37" s="70"/>
      <c r="Y37" s="70"/>
      <c r="Z37" s="70"/>
    </row>
    <row r="38" ht="12.0" customHeight="1">
      <c r="A38" s="89" t="s">
        <v>50</v>
      </c>
      <c r="B38" s="63">
        <f t="shared" ref="B38:N38" si="7">+B24-B37</f>
        <v>58992.01891</v>
      </c>
      <c r="C38" s="63">
        <f t="shared" si="7"/>
        <v>46372.8955</v>
      </c>
      <c r="D38" s="63">
        <f t="shared" si="7"/>
        <v>51181.86392</v>
      </c>
      <c r="E38" s="63">
        <f t="shared" si="7"/>
        <v>49093.44406</v>
      </c>
      <c r="F38" s="63">
        <f t="shared" si="7"/>
        <v>50512.37729</v>
      </c>
      <c r="G38" s="63">
        <f t="shared" si="7"/>
        <v>42079.18393</v>
      </c>
      <c r="H38" s="63">
        <f t="shared" si="7"/>
        <v>39916.97686</v>
      </c>
      <c r="I38" s="63">
        <f t="shared" si="7"/>
        <v>31064.05308</v>
      </c>
      <c r="J38" s="63">
        <f t="shared" si="7"/>
        <v>30686.68636</v>
      </c>
      <c r="K38" s="63">
        <f t="shared" si="7"/>
        <v>27186.08794</v>
      </c>
      <c r="L38" s="63">
        <f t="shared" si="7"/>
        <v>17944.82384</v>
      </c>
      <c r="M38" s="63">
        <f t="shared" si="7"/>
        <v>28450.10347</v>
      </c>
      <c r="N38" s="63">
        <f t="shared" si="7"/>
        <v>473480.5152</v>
      </c>
      <c r="O38" s="70"/>
      <c r="P38" s="51"/>
      <c r="Q38" s="51"/>
      <c r="R38" s="70"/>
      <c r="S38" s="70"/>
      <c r="T38" s="70"/>
      <c r="U38" s="70"/>
      <c r="V38" s="70"/>
      <c r="W38" s="70"/>
      <c r="X38" s="70"/>
      <c r="Y38" s="70"/>
      <c r="Z38" s="70"/>
    </row>
    <row r="39" ht="12.0" customHeight="1">
      <c r="A39" s="92" t="s">
        <v>52</v>
      </c>
      <c r="N39" s="105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5.0" customHeight="1">
      <c r="A40" s="44" t="s">
        <v>53</v>
      </c>
      <c r="B40" s="45"/>
      <c r="C40" s="45"/>
      <c r="D40" s="45"/>
      <c r="E40" s="45"/>
      <c r="F40" s="45"/>
      <c r="G40" s="93"/>
      <c r="H40" s="93"/>
      <c r="I40" s="93"/>
      <c r="J40" s="93"/>
      <c r="K40" s="93"/>
      <c r="L40" s="93"/>
      <c r="M40" s="9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47" t="s">
        <v>54</v>
      </c>
      <c r="B41" s="45"/>
      <c r="C41" s="45"/>
      <c r="D41" s="45"/>
      <c r="E41" s="45"/>
      <c r="F41" s="45"/>
      <c r="G41" s="93"/>
      <c r="H41" s="93"/>
      <c r="I41" s="93"/>
      <c r="J41" s="93"/>
      <c r="K41" s="93"/>
      <c r="L41" s="93"/>
      <c r="M41" s="9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47" t="s">
        <v>55</v>
      </c>
      <c r="B42" s="45"/>
      <c r="C42" s="45"/>
      <c r="D42" s="45"/>
      <c r="E42" s="45"/>
      <c r="F42" s="45"/>
      <c r="G42" s="93"/>
      <c r="H42" s="93"/>
      <c r="I42" s="93"/>
      <c r="J42" s="93"/>
      <c r="K42" s="93"/>
      <c r="L42" s="93"/>
      <c r="M42" s="9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47" t="s">
        <v>56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47" t="s">
        <v>57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47" t="s">
        <v>58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47" t="s">
        <v>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1"/>
      <c r="O46" s="51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2.0" customHeight="1">
      <c r="A47" s="47" t="s">
        <v>60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51"/>
      <c r="O47" s="51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2.0" customHeight="1">
      <c r="A48" s="50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2.0" customHeight="1">
      <c r="A49" s="106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2.0" customHeight="1">
      <c r="A50" s="106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2.0" customHeight="1">
      <c r="A51" s="106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2.0" customHeight="1">
      <c r="A52" s="106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2.0" customHeight="1">
      <c r="A53" s="106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2.0" customHeight="1">
      <c r="A54" s="106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2.0" customHeight="1">
      <c r="A55" s="106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2.0" customHeight="1">
      <c r="A56" s="106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2.0" customHeight="1">
      <c r="A57" s="106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2.0" customHeight="1">
      <c r="A58" s="106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2.0" customHeight="1">
      <c r="A59" s="106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2.0" customHeight="1">
      <c r="A60" s="106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2.0" customHeight="1">
      <c r="A61" s="106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2.0" customHeight="1">
      <c r="A62" s="106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2.0" customHeight="1">
      <c r="A63" s="106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2.0" customHeight="1">
      <c r="A64" s="106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2.0" customHeight="1">
      <c r="A65" s="106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2.0" customHeight="1">
      <c r="A66" s="106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2.0" customHeight="1">
      <c r="A67" s="106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2.0" customHeight="1">
      <c r="A68" s="106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2.0" customHeight="1">
      <c r="A69" s="106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2.0" customHeight="1">
      <c r="A70" s="106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2.0" customHeight="1">
      <c r="A71" s="106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2.0" customHeight="1">
      <c r="A72" s="106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2.0" customHeight="1">
      <c r="A73" s="106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2.0" customHeight="1">
      <c r="A74" s="106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2.0" customHeight="1">
      <c r="A75" s="106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2.0" customHeight="1">
      <c r="A76" s="106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2.0" customHeight="1">
      <c r="A77" s="106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2.0" customHeight="1">
      <c r="A78" s="106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2.0" customHeight="1">
      <c r="A79" s="106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2.0" customHeight="1">
      <c r="A80" s="106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2.0" customHeight="1">
      <c r="A81" s="106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2.0" customHeight="1">
      <c r="A82" s="106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2.0" customHeight="1">
      <c r="A83" s="106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2.0" customHeight="1">
      <c r="A84" s="106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2.0" customHeight="1">
      <c r="A85" s="106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2.0" customHeight="1">
      <c r="A86" s="106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2.0" customHeight="1">
      <c r="A87" s="106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2.0" customHeight="1">
      <c r="A88" s="106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2.0" customHeight="1">
      <c r="A89" s="106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2.0" customHeight="1">
      <c r="A90" s="106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2.0" customHeight="1">
      <c r="A91" s="106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2.0" customHeight="1">
      <c r="A92" s="106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2.0" customHeight="1">
      <c r="A93" s="106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2.0" customHeight="1">
      <c r="A94" s="106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2.0" customHeight="1">
      <c r="A95" s="106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2.0" customHeight="1">
      <c r="A96" s="106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2.0" customHeight="1">
      <c r="A97" s="106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2.0" customHeight="1">
      <c r="A98" s="106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2.0" customHeight="1">
      <c r="A99" s="106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2.0" customHeight="1">
      <c r="A100" s="106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2.0" customHeight="1">
      <c r="A101" s="106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2.0" customHeight="1">
      <c r="A102" s="106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2.0" customHeight="1">
      <c r="A103" s="106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2.0" customHeight="1">
      <c r="A104" s="106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2.0" customHeight="1">
      <c r="A105" s="106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2.0" customHeight="1">
      <c r="A106" s="106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2.0" customHeight="1">
      <c r="A107" s="106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2.0" customHeight="1">
      <c r="A108" s="106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2.0" customHeight="1">
      <c r="A109" s="106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2.0" customHeight="1">
      <c r="A110" s="106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2.0" customHeight="1">
      <c r="A111" s="106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2.0" customHeight="1">
      <c r="A112" s="106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2.0" customHeight="1">
      <c r="A113" s="106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2.0" customHeight="1">
      <c r="A114" s="106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2.0" customHeight="1">
      <c r="A115" s="106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2.0" customHeight="1">
      <c r="A116" s="106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2.0" customHeight="1">
      <c r="A117" s="106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2.0" customHeight="1">
      <c r="A118" s="106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2.0" customHeight="1">
      <c r="A119" s="106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2.0" customHeight="1">
      <c r="A120" s="106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2.0" customHeight="1">
      <c r="A121" s="106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2.0" customHeight="1">
      <c r="A122" s="106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2.0" customHeight="1">
      <c r="A123" s="106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2.0" customHeight="1">
      <c r="A124" s="106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2.0" customHeight="1">
      <c r="A125" s="106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2.0" customHeight="1">
      <c r="A126" s="106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2.0" customHeight="1">
      <c r="A127" s="106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2.0" customHeight="1">
      <c r="A128" s="106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2.0" customHeight="1">
      <c r="A129" s="106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2.0" customHeight="1">
      <c r="A130" s="106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2.0" customHeight="1">
      <c r="A131" s="106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2.0" customHeight="1">
      <c r="A132" s="106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2.0" customHeight="1">
      <c r="A133" s="106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2.0" customHeight="1">
      <c r="A134" s="106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2.0" customHeight="1">
      <c r="A135" s="106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2.0" customHeight="1">
      <c r="A136" s="106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2.0" customHeight="1">
      <c r="A137" s="106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2.0" customHeight="1">
      <c r="A138" s="106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2.0" customHeight="1">
      <c r="A139" s="106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2.0" customHeight="1">
      <c r="A140" s="106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2.0" customHeight="1">
      <c r="A141" s="106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2.0" customHeight="1">
      <c r="A142" s="106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2.0" customHeight="1">
      <c r="A143" s="106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2.0" customHeight="1">
      <c r="A144" s="106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2.0" customHeight="1">
      <c r="A145" s="106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2.0" customHeight="1">
      <c r="A146" s="106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2.0" customHeight="1">
      <c r="A147" s="106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2.0" customHeight="1">
      <c r="A148" s="106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2.0" customHeight="1">
      <c r="A149" s="106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2.0" customHeight="1">
      <c r="A150" s="106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2.0" customHeight="1">
      <c r="A151" s="106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2.0" customHeight="1">
      <c r="A152" s="106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2.0" customHeight="1">
      <c r="A153" s="106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2.0" customHeight="1">
      <c r="A154" s="106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2.0" customHeight="1">
      <c r="A155" s="106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2.0" customHeight="1">
      <c r="A156" s="106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2.0" customHeight="1">
      <c r="A157" s="106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2.0" customHeight="1">
      <c r="A158" s="106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2.0" customHeight="1">
      <c r="A159" s="106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2.0" customHeight="1">
      <c r="A160" s="106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2.0" customHeight="1">
      <c r="A161" s="106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2.0" customHeight="1">
      <c r="A162" s="106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2.0" customHeight="1">
      <c r="A163" s="106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2.0" customHeight="1">
      <c r="A164" s="106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2.0" customHeight="1">
      <c r="A165" s="106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2.0" customHeight="1">
      <c r="A166" s="106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2.0" customHeight="1">
      <c r="A167" s="106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2.0" customHeight="1">
      <c r="A168" s="106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2.0" customHeight="1">
      <c r="A169" s="106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2.0" customHeight="1">
      <c r="A170" s="106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2.0" customHeight="1">
      <c r="A171" s="106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2.0" customHeight="1">
      <c r="A172" s="106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2.0" customHeight="1">
      <c r="A173" s="106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2.0" customHeight="1">
      <c r="A174" s="106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2.0" customHeight="1">
      <c r="A175" s="106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2.0" customHeight="1">
      <c r="A176" s="106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2.0" customHeight="1">
      <c r="A177" s="106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2.0" customHeight="1">
      <c r="A178" s="106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2.0" customHeight="1">
      <c r="A179" s="106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2.0" customHeight="1">
      <c r="A180" s="106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2.0" customHeight="1">
      <c r="A181" s="106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2.0" customHeight="1">
      <c r="A182" s="106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2.0" customHeight="1">
      <c r="A183" s="106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2.0" customHeight="1">
      <c r="A184" s="106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2.0" customHeight="1">
      <c r="A185" s="106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2.0" customHeight="1">
      <c r="A186" s="106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2.0" customHeight="1">
      <c r="A187" s="106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2.0" customHeight="1">
      <c r="A188" s="106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2.0" customHeight="1">
      <c r="A189" s="106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2.0" customHeight="1">
      <c r="A190" s="106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2.0" customHeight="1">
      <c r="A191" s="106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2.0" customHeight="1">
      <c r="A192" s="106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2.0" customHeight="1">
      <c r="A193" s="106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2.0" customHeight="1">
      <c r="A194" s="106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2.0" customHeight="1">
      <c r="A195" s="106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2.0" customHeight="1">
      <c r="A196" s="106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2.0" customHeight="1">
      <c r="A197" s="106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2.0" customHeight="1">
      <c r="A198" s="106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2.0" customHeight="1">
      <c r="A199" s="106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2.0" customHeight="1">
      <c r="A200" s="106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2.0" customHeight="1">
      <c r="A201" s="106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2.0" customHeight="1">
      <c r="A202" s="106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2.0" customHeight="1">
      <c r="A203" s="106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2.0" customHeight="1">
      <c r="A204" s="106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2.0" customHeight="1">
      <c r="A205" s="106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2.0" customHeight="1">
      <c r="A206" s="106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2.0" customHeight="1">
      <c r="A207" s="106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2.0" customHeight="1">
      <c r="A208" s="106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2.0" customHeight="1">
      <c r="A209" s="106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2.0" customHeight="1">
      <c r="A210" s="106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2.0" customHeight="1">
      <c r="A211" s="106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2.0" customHeight="1">
      <c r="A212" s="106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2.0" customHeight="1">
      <c r="A213" s="106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2.0" customHeight="1">
      <c r="A214" s="106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2.0" customHeight="1">
      <c r="A215" s="106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2.0" customHeight="1">
      <c r="A216" s="106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2.0" customHeight="1">
      <c r="A217" s="106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2.0" customHeight="1">
      <c r="A218" s="106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2.0" customHeight="1">
      <c r="A219" s="106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2.0" customHeight="1">
      <c r="A220" s="106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2.0" customHeight="1">
      <c r="A221" s="106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2.0" customHeight="1">
      <c r="A222" s="106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2.0" customHeight="1">
      <c r="A223" s="106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2.0" customHeight="1">
      <c r="A224" s="106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2.0" customHeight="1">
      <c r="A225" s="106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2.0" customHeight="1">
      <c r="A226" s="106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2.0" customHeight="1">
      <c r="A227" s="106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2.0" customHeight="1">
      <c r="A228" s="106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2.0" customHeight="1">
      <c r="A229" s="106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2.0" customHeight="1">
      <c r="A230" s="106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2.0" customHeight="1">
      <c r="A231" s="106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2.0" customHeight="1">
      <c r="A232" s="106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2.0" customHeight="1">
      <c r="A233" s="106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2.0" customHeight="1">
      <c r="A234" s="106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2.0" customHeight="1">
      <c r="A235" s="106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2.0" customHeight="1">
      <c r="A236" s="106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2.0" customHeight="1">
      <c r="A237" s="106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2.0" customHeight="1">
      <c r="A238" s="106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2.0" customHeight="1">
      <c r="A239" s="106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2.0" customHeight="1">
      <c r="A240" s="106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2.0" customHeight="1">
      <c r="A241" s="106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2.0" customHeight="1">
      <c r="A242" s="106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2.0" customHeight="1">
      <c r="A243" s="106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2.0" customHeight="1">
      <c r="A244" s="106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2.0" customHeight="1">
      <c r="A245" s="106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2.0" customHeight="1">
      <c r="A246" s="106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2.0" customHeight="1">
      <c r="A247" s="106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2.0" customHeight="1">
      <c r="A248" s="106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2.0" customHeight="1">
      <c r="A249" s="106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2.0" customHeight="1">
      <c r="A250" s="106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2.0" customHeight="1">
      <c r="A251" s="106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2.0" customHeight="1">
      <c r="A252" s="106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2.0" customHeight="1">
      <c r="A253" s="106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2.0" customHeight="1">
      <c r="A254" s="106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2.0" customHeight="1">
      <c r="A255" s="106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2.0" customHeight="1">
      <c r="A256" s="106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2.0" customHeight="1">
      <c r="A257" s="106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2.0" customHeight="1">
      <c r="A258" s="106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2.0" customHeight="1">
      <c r="A259" s="106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2.0" customHeight="1">
      <c r="A260" s="106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2.0" customHeight="1">
      <c r="A261" s="106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2.0" customHeight="1">
      <c r="A262" s="106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2.0" customHeight="1">
      <c r="A263" s="106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2.0" customHeight="1">
      <c r="A264" s="106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2.0" customHeight="1">
      <c r="A265" s="106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2.0" customHeight="1">
      <c r="A266" s="106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2.0" customHeight="1">
      <c r="A267" s="106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2.0" customHeight="1">
      <c r="A268" s="106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2.0" customHeight="1">
      <c r="A269" s="106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2.0" customHeight="1">
      <c r="A270" s="106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2.0" customHeight="1">
      <c r="A271" s="106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2.0" customHeight="1">
      <c r="A272" s="106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2.0" customHeight="1">
      <c r="A273" s="106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2.0" customHeight="1">
      <c r="A274" s="106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2.0" customHeight="1">
      <c r="A275" s="106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2.0" customHeight="1">
      <c r="A276" s="106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2.0" customHeight="1">
      <c r="A277" s="106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2.0" customHeight="1">
      <c r="A278" s="106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2.0" customHeight="1">
      <c r="A279" s="106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2.0" customHeight="1">
      <c r="A280" s="106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2.0" customHeight="1">
      <c r="A281" s="106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2.0" customHeight="1">
      <c r="A282" s="106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2.0" customHeight="1">
      <c r="A283" s="106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2.0" customHeight="1">
      <c r="A284" s="106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2.0" customHeight="1">
      <c r="A285" s="106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2.0" customHeight="1">
      <c r="A286" s="106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2.0" customHeight="1">
      <c r="A287" s="106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2.0" customHeight="1">
      <c r="A288" s="106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2.0" customHeight="1">
      <c r="A289" s="106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2.0" customHeight="1">
      <c r="A290" s="106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2.0" customHeight="1">
      <c r="A291" s="106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2.0" customHeight="1">
      <c r="A292" s="106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2.0" customHeight="1">
      <c r="A293" s="106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2.0" customHeight="1">
      <c r="A294" s="106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2.0" customHeight="1">
      <c r="A295" s="106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2.0" customHeight="1">
      <c r="A296" s="106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2.0" customHeight="1">
      <c r="A297" s="106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2.0" customHeight="1">
      <c r="A298" s="106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2.0" customHeight="1">
      <c r="A299" s="106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2.0" customHeight="1">
      <c r="A300" s="106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2.0" customHeight="1">
      <c r="A301" s="106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2.0" customHeight="1">
      <c r="A302" s="106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2.0" customHeight="1">
      <c r="A303" s="106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2.0" customHeight="1">
      <c r="A304" s="106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2.0" customHeight="1">
      <c r="A305" s="106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2.0" customHeight="1">
      <c r="A306" s="106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2.0" customHeight="1">
      <c r="A307" s="106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2.0" customHeight="1">
      <c r="A308" s="106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2.0" customHeight="1">
      <c r="A309" s="106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2.0" customHeight="1">
      <c r="A310" s="106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2.0" customHeight="1">
      <c r="A311" s="106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2.0" customHeight="1">
      <c r="A312" s="106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2.0" customHeight="1">
      <c r="A313" s="106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2.0" customHeight="1">
      <c r="A314" s="106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2.0" customHeight="1">
      <c r="A315" s="106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2.0" customHeight="1">
      <c r="A316" s="106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2.0" customHeight="1">
      <c r="A317" s="106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2.0" customHeight="1">
      <c r="A318" s="106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2.0" customHeight="1">
      <c r="A319" s="106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2.0" customHeight="1">
      <c r="A320" s="106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2.0" customHeight="1">
      <c r="A321" s="106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2.0" customHeight="1">
      <c r="A322" s="106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2.0" customHeight="1">
      <c r="A323" s="106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2.0" customHeight="1">
      <c r="A324" s="106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2.0" customHeight="1">
      <c r="A325" s="106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2.0" customHeight="1">
      <c r="A326" s="106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2.0" customHeight="1">
      <c r="A327" s="106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2.0" customHeight="1">
      <c r="A328" s="106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2.0" customHeight="1">
      <c r="A329" s="106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2.0" customHeight="1">
      <c r="A330" s="106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2.0" customHeight="1">
      <c r="A331" s="106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2.0" customHeight="1">
      <c r="A332" s="106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2.0" customHeight="1">
      <c r="A333" s="106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2.0" customHeight="1">
      <c r="A334" s="106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2.0" customHeight="1">
      <c r="A335" s="106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2.0" customHeight="1">
      <c r="A336" s="106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2.0" customHeight="1">
      <c r="A337" s="106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2.0" customHeight="1">
      <c r="A338" s="106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2.0" customHeight="1">
      <c r="A339" s="106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2.0" customHeight="1">
      <c r="A340" s="106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2.0" customHeight="1">
      <c r="A341" s="106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2.0" customHeight="1">
      <c r="A342" s="106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2.0" customHeight="1">
      <c r="A343" s="106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2.0" customHeight="1">
      <c r="A344" s="106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2.0" customHeight="1">
      <c r="A345" s="106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2.0" customHeight="1">
      <c r="A346" s="106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2.0" customHeight="1">
      <c r="A347" s="106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2.0" customHeight="1">
      <c r="A348" s="106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2.0" customHeight="1">
      <c r="A349" s="106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2.0" customHeight="1">
      <c r="A350" s="106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2.0" customHeight="1">
      <c r="A351" s="106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2.0" customHeight="1">
      <c r="A352" s="106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2.0" customHeight="1">
      <c r="A353" s="106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2.0" customHeight="1">
      <c r="A354" s="106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2.0" customHeight="1">
      <c r="A355" s="106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2.0" customHeight="1">
      <c r="A356" s="106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2.0" customHeight="1">
      <c r="A357" s="106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2.0" customHeight="1">
      <c r="A358" s="106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2.0" customHeight="1">
      <c r="A359" s="106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2.0" customHeight="1">
      <c r="A360" s="106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2.0" customHeight="1">
      <c r="A361" s="106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2.0" customHeight="1">
      <c r="A362" s="106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2.0" customHeight="1">
      <c r="A363" s="106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2.0" customHeight="1">
      <c r="A364" s="106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2.0" customHeight="1">
      <c r="A365" s="106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2.0" customHeight="1">
      <c r="A366" s="106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2.0" customHeight="1">
      <c r="A367" s="106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2.0" customHeight="1">
      <c r="A368" s="106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2.0" customHeight="1">
      <c r="A369" s="106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2.0" customHeight="1">
      <c r="A370" s="106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2.0" customHeight="1">
      <c r="A371" s="106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2.0" customHeight="1">
      <c r="A372" s="106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2.0" customHeight="1">
      <c r="A373" s="106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2.0" customHeight="1">
      <c r="A374" s="106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2.0" customHeight="1">
      <c r="A375" s="106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2.0" customHeight="1">
      <c r="A376" s="106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2.0" customHeight="1">
      <c r="A377" s="106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2.0" customHeight="1">
      <c r="A378" s="106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2.0" customHeight="1">
      <c r="A379" s="106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2.0" customHeight="1">
      <c r="A380" s="106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2.0" customHeight="1">
      <c r="A381" s="106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2.0" customHeight="1">
      <c r="A382" s="106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2.0" customHeight="1">
      <c r="A383" s="106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2.0" customHeight="1">
      <c r="A384" s="106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2.0" customHeight="1">
      <c r="A385" s="106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2.0" customHeight="1">
      <c r="A386" s="106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2.0" customHeight="1">
      <c r="A387" s="106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2.0" customHeight="1">
      <c r="A388" s="106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2.0" customHeight="1">
      <c r="A389" s="106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2.0" customHeight="1">
      <c r="A390" s="106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2.0" customHeight="1">
      <c r="A391" s="106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2.0" customHeight="1">
      <c r="A392" s="106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2.0" customHeight="1">
      <c r="A393" s="106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2.0" customHeight="1">
      <c r="A394" s="106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2.0" customHeight="1">
      <c r="A395" s="106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2.0" customHeight="1">
      <c r="A396" s="106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2.0" customHeight="1">
      <c r="A397" s="106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2.0" customHeight="1">
      <c r="A398" s="106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2.0" customHeight="1">
      <c r="A399" s="106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2.0" customHeight="1">
      <c r="A400" s="106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2.0" customHeight="1">
      <c r="A401" s="106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2.0" customHeight="1">
      <c r="A402" s="106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2.0" customHeight="1">
      <c r="A403" s="106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2.0" customHeight="1">
      <c r="A404" s="106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2.0" customHeight="1">
      <c r="A405" s="106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2.0" customHeight="1">
      <c r="A406" s="106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2.0" customHeight="1">
      <c r="A407" s="106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2.0" customHeight="1">
      <c r="A408" s="106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2.0" customHeight="1">
      <c r="A409" s="106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2.0" customHeight="1">
      <c r="A410" s="106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2.0" customHeight="1">
      <c r="A411" s="106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2.0" customHeight="1">
      <c r="A412" s="106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2.0" customHeight="1">
      <c r="A413" s="106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2.0" customHeight="1">
      <c r="A414" s="106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2.0" customHeight="1">
      <c r="A415" s="106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2.0" customHeight="1">
      <c r="A416" s="106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2.0" customHeight="1">
      <c r="A417" s="106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2.0" customHeight="1">
      <c r="A418" s="106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2.0" customHeight="1">
      <c r="A419" s="106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2.0" customHeight="1">
      <c r="A420" s="106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2.0" customHeight="1">
      <c r="A421" s="106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2.0" customHeight="1">
      <c r="A422" s="106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2.0" customHeight="1">
      <c r="A423" s="106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2.0" customHeight="1">
      <c r="A424" s="106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2.0" customHeight="1">
      <c r="A425" s="106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2.0" customHeight="1">
      <c r="A426" s="106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2.0" customHeight="1">
      <c r="A427" s="106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2.0" customHeight="1">
      <c r="A428" s="106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2.0" customHeight="1">
      <c r="A429" s="106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2.0" customHeight="1">
      <c r="A430" s="106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2.0" customHeight="1">
      <c r="A431" s="106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2.0" customHeight="1">
      <c r="A432" s="106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2.0" customHeight="1">
      <c r="A433" s="106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2.0" customHeight="1">
      <c r="A434" s="106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2.0" customHeight="1">
      <c r="A435" s="106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2.0" customHeight="1">
      <c r="A436" s="106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2.0" customHeight="1">
      <c r="A437" s="106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2.0" customHeight="1">
      <c r="A438" s="106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2.0" customHeight="1">
      <c r="A439" s="106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2.0" customHeight="1">
      <c r="A440" s="106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2.0" customHeight="1">
      <c r="A441" s="106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2.0" customHeight="1">
      <c r="A442" s="106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2.0" customHeight="1">
      <c r="A443" s="106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2.0" customHeight="1">
      <c r="A444" s="106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2.0" customHeight="1">
      <c r="A445" s="106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2.0" customHeight="1">
      <c r="A446" s="106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2.0" customHeight="1">
      <c r="A447" s="106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2.0" customHeight="1">
      <c r="A448" s="106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2.0" customHeight="1">
      <c r="A449" s="106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2.0" customHeight="1">
      <c r="A450" s="106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2.0" customHeight="1">
      <c r="A451" s="106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2.0" customHeight="1">
      <c r="A452" s="106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2.0" customHeight="1">
      <c r="A453" s="106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2.0" customHeight="1">
      <c r="A454" s="106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2.0" customHeight="1">
      <c r="A455" s="106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2.0" customHeight="1">
      <c r="A456" s="106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2.0" customHeight="1">
      <c r="A457" s="106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2.0" customHeight="1">
      <c r="A458" s="106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2.0" customHeight="1">
      <c r="A459" s="106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2.0" customHeight="1">
      <c r="A460" s="106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2.0" customHeight="1">
      <c r="A461" s="106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2.0" customHeight="1">
      <c r="A462" s="106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2.0" customHeight="1">
      <c r="A463" s="106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2.0" customHeight="1">
      <c r="A464" s="106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2.0" customHeight="1">
      <c r="A465" s="106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2.0" customHeight="1">
      <c r="A466" s="106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2.0" customHeight="1">
      <c r="A467" s="106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2.0" customHeight="1">
      <c r="A468" s="106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2.0" customHeight="1">
      <c r="A469" s="106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2.0" customHeight="1">
      <c r="A470" s="106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2.0" customHeight="1">
      <c r="A471" s="106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2.0" customHeight="1">
      <c r="A472" s="106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2.0" customHeight="1">
      <c r="A473" s="106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2.0" customHeight="1">
      <c r="A474" s="106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2.0" customHeight="1">
      <c r="A475" s="106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2.0" customHeight="1">
      <c r="A476" s="106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2.0" customHeight="1">
      <c r="A477" s="106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2.0" customHeight="1">
      <c r="A478" s="106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2.0" customHeight="1">
      <c r="A479" s="106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2.0" customHeight="1">
      <c r="A480" s="106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2.0" customHeight="1">
      <c r="A481" s="106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2.0" customHeight="1">
      <c r="A482" s="106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2.0" customHeight="1">
      <c r="A483" s="106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2.0" customHeight="1">
      <c r="A484" s="106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2.0" customHeight="1">
      <c r="A485" s="106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2.0" customHeight="1">
      <c r="A486" s="106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2.0" customHeight="1">
      <c r="A487" s="106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2.0" customHeight="1">
      <c r="A488" s="106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2.0" customHeight="1">
      <c r="A489" s="106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2.0" customHeight="1">
      <c r="A490" s="106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2.0" customHeight="1">
      <c r="A491" s="106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2.0" customHeight="1">
      <c r="A492" s="106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2.0" customHeight="1">
      <c r="A493" s="106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2.0" customHeight="1">
      <c r="A494" s="106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2.0" customHeight="1">
      <c r="A495" s="106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2.0" customHeight="1">
      <c r="A496" s="106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2.0" customHeight="1">
      <c r="A497" s="106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2.0" customHeight="1">
      <c r="A498" s="106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2.0" customHeight="1">
      <c r="A499" s="106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2.0" customHeight="1">
      <c r="A500" s="106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2.0" customHeight="1">
      <c r="A501" s="106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2.0" customHeight="1">
      <c r="A502" s="106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2.0" customHeight="1">
      <c r="A503" s="106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2.0" customHeight="1">
      <c r="A504" s="106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2.0" customHeight="1">
      <c r="A505" s="106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2.0" customHeight="1">
      <c r="A506" s="106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2.0" customHeight="1">
      <c r="A507" s="106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2.0" customHeight="1">
      <c r="A508" s="106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2.0" customHeight="1">
      <c r="A509" s="106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2.0" customHeight="1">
      <c r="A510" s="106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2.0" customHeight="1">
      <c r="A511" s="106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2.0" customHeight="1">
      <c r="A512" s="106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2.0" customHeight="1">
      <c r="A513" s="106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2.0" customHeight="1">
      <c r="A514" s="106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2.0" customHeight="1">
      <c r="A515" s="106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2.0" customHeight="1">
      <c r="A516" s="106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2.0" customHeight="1">
      <c r="A517" s="106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2.0" customHeight="1">
      <c r="A518" s="106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2.0" customHeight="1">
      <c r="A519" s="106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2.0" customHeight="1">
      <c r="A520" s="106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2.0" customHeight="1">
      <c r="A521" s="106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2.0" customHeight="1">
      <c r="A522" s="106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2.0" customHeight="1">
      <c r="A523" s="106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2.0" customHeight="1">
      <c r="A524" s="106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2.0" customHeight="1">
      <c r="A525" s="106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2.0" customHeight="1">
      <c r="A526" s="106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2.0" customHeight="1">
      <c r="A527" s="106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2.0" customHeight="1">
      <c r="A528" s="106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2.0" customHeight="1">
      <c r="A529" s="106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2.0" customHeight="1">
      <c r="A530" s="106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2.0" customHeight="1">
      <c r="A531" s="106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2.0" customHeight="1">
      <c r="A532" s="106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2.0" customHeight="1">
      <c r="A533" s="106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2.0" customHeight="1">
      <c r="A534" s="106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2.0" customHeight="1">
      <c r="A535" s="106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2.0" customHeight="1">
      <c r="A536" s="106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2.0" customHeight="1">
      <c r="A537" s="106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2.0" customHeight="1">
      <c r="A538" s="106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2.0" customHeight="1">
      <c r="A539" s="106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2.0" customHeight="1">
      <c r="A540" s="106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2.0" customHeight="1">
      <c r="A541" s="106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2.0" customHeight="1">
      <c r="A542" s="106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2.0" customHeight="1">
      <c r="A543" s="106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2.0" customHeight="1">
      <c r="A544" s="106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2.0" customHeight="1">
      <c r="A545" s="106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2.0" customHeight="1">
      <c r="A546" s="106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2.0" customHeight="1">
      <c r="A547" s="106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2.0" customHeight="1">
      <c r="A548" s="106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2.0" customHeight="1">
      <c r="A549" s="106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2.0" customHeight="1">
      <c r="A550" s="106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2.0" customHeight="1">
      <c r="A551" s="106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2.0" customHeight="1">
      <c r="A552" s="106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2.0" customHeight="1">
      <c r="A553" s="106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2.0" customHeight="1">
      <c r="A554" s="106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2.0" customHeight="1">
      <c r="A555" s="106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2.0" customHeight="1">
      <c r="A556" s="106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2.0" customHeight="1">
      <c r="A557" s="106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2.0" customHeight="1">
      <c r="A558" s="106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2.0" customHeight="1">
      <c r="A559" s="106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2.0" customHeight="1">
      <c r="A560" s="106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2.0" customHeight="1">
      <c r="A561" s="106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2.0" customHeight="1">
      <c r="A562" s="106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2.0" customHeight="1">
      <c r="A563" s="106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2.0" customHeight="1">
      <c r="A564" s="106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2.0" customHeight="1">
      <c r="A565" s="106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2.0" customHeight="1">
      <c r="A566" s="106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2.0" customHeight="1">
      <c r="A567" s="106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2.0" customHeight="1">
      <c r="A568" s="106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2.0" customHeight="1">
      <c r="A569" s="106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2.0" customHeight="1">
      <c r="A570" s="106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2.0" customHeight="1">
      <c r="A571" s="106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2.0" customHeight="1">
      <c r="A572" s="106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2.0" customHeight="1">
      <c r="A573" s="106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2.0" customHeight="1">
      <c r="A574" s="106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2.0" customHeight="1">
      <c r="A575" s="106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2.0" customHeight="1">
      <c r="A576" s="106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2.0" customHeight="1">
      <c r="A577" s="106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2.0" customHeight="1">
      <c r="A578" s="106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2.0" customHeight="1">
      <c r="A579" s="106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2.0" customHeight="1">
      <c r="A580" s="106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2.0" customHeight="1">
      <c r="A581" s="106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2.0" customHeight="1">
      <c r="A582" s="106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2.0" customHeight="1">
      <c r="A583" s="106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2.0" customHeight="1">
      <c r="A584" s="106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2.0" customHeight="1">
      <c r="A585" s="106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2.0" customHeight="1">
      <c r="A586" s="106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2.0" customHeight="1">
      <c r="A587" s="106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2.0" customHeight="1">
      <c r="A588" s="106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2.0" customHeight="1">
      <c r="A589" s="106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2.0" customHeight="1">
      <c r="A590" s="106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2.0" customHeight="1">
      <c r="A591" s="106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2.0" customHeight="1">
      <c r="A592" s="106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2.0" customHeight="1">
      <c r="A593" s="106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2.0" customHeight="1">
      <c r="A594" s="106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2.0" customHeight="1">
      <c r="A595" s="106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2.0" customHeight="1">
      <c r="A596" s="106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2.0" customHeight="1">
      <c r="A597" s="106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2.0" customHeight="1">
      <c r="A598" s="106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2.0" customHeight="1">
      <c r="A599" s="106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2.0" customHeight="1">
      <c r="A600" s="106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2.0" customHeight="1">
      <c r="A601" s="106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2.0" customHeight="1">
      <c r="A602" s="106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2.0" customHeight="1">
      <c r="A603" s="106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2.0" customHeight="1">
      <c r="A604" s="106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2.0" customHeight="1">
      <c r="A605" s="106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2.0" customHeight="1">
      <c r="A606" s="106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2.0" customHeight="1">
      <c r="A607" s="106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2.0" customHeight="1">
      <c r="A608" s="106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2.0" customHeight="1">
      <c r="A609" s="106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2.0" customHeight="1">
      <c r="A610" s="106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2.0" customHeight="1">
      <c r="A611" s="106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2.0" customHeight="1">
      <c r="A612" s="106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2.0" customHeight="1">
      <c r="A613" s="106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2.0" customHeight="1">
      <c r="A614" s="106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2.0" customHeight="1">
      <c r="A615" s="106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2.0" customHeight="1">
      <c r="A616" s="106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2.0" customHeight="1">
      <c r="A617" s="106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2.0" customHeight="1">
      <c r="A618" s="106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2.0" customHeight="1">
      <c r="A619" s="106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2.0" customHeight="1">
      <c r="A620" s="106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2.0" customHeight="1">
      <c r="A621" s="106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2.0" customHeight="1">
      <c r="A622" s="106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2.0" customHeight="1">
      <c r="A623" s="106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2.0" customHeight="1">
      <c r="A624" s="106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2.0" customHeight="1">
      <c r="A625" s="106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2.0" customHeight="1">
      <c r="A626" s="106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2.0" customHeight="1">
      <c r="A627" s="106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2.0" customHeight="1">
      <c r="A628" s="106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2.0" customHeight="1">
      <c r="A629" s="106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2.0" customHeight="1">
      <c r="A630" s="106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2.0" customHeight="1">
      <c r="A631" s="106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2.0" customHeight="1">
      <c r="A632" s="106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2.0" customHeight="1">
      <c r="A633" s="106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2.0" customHeight="1">
      <c r="A634" s="106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2.0" customHeight="1">
      <c r="A635" s="106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2.0" customHeight="1">
      <c r="A636" s="106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2.0" customHeight="1">
      <c r="A637" s="106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2.0" customHeight="1">
      <c r="A638" s="106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2.0" customHeight="1">
      <c r="A639" s="106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2.0" customHeight="1">
      <c r="A640" s="106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2.0" customHeight="1">
      <c r="A641" s="106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2.0" customHeight="1">
      <c r="A642" s="106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2.0" customHeight="1">
      <c r="A643" s="106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2.0" customHeight="1">
      <c r="A644" s="106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2.0" customHeight="1">
      <c r="A645" s="106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2.0" customHeight="1">
      <c r="A646" s="106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2.0" customHeight="1">
      <c r="A647" s="106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2.0" customHeight="1">
      <c r="A648" s="106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2.0" customHeight="1">
      <c r="A649" s="106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2.0" customHeight="1">
      <c r="A650" s="106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2.0" customHeight="1">
      <c r="A651" s="106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2.0" customHeight="1">
      <c r="A652" s="106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2.0" customHeight="1">
      <c r="A653" s="106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2.0" customHeight="1">
      <c r="A654" s="106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2.0" customHeight="1">
      <c r="A655" s="106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2.0" customHeight="1">
      <c r="A656" s="106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2.0" customHeight="1">
      <c r="A657" s="106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2.0" customHeight="1">
      <c r="A658" s="106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2.0" customHeight="1">
      <c r="A659" s="106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2.0" customHeight="1">
      <c r="A660" s="106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2.0" customHeight="1">
      <c r="A661" s="106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2.0" customHeight="1">
      <c r="A662" s="106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2.0" customHeight="1">
      <c r="A663" s="106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2.0" customHeight="1">
      <c r="A664" s="106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2.0" customHeight="1">
      <c r="A665" s="106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2.0" customHeight="1">
      <c r="A666" s="106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2.0" customHeight="1">
      <c r="A667" s="106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2.0" customHeight="1">
      <c r="A668" s="106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2.0" customHeight="1">
      <c r="A669" s="106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2.0" customHeight="1">
      <c r="A670" s="106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2.0" customHeight="1">
      <c r="A671" s="106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2.0" customHeight="1">
      <c r="A672" s="106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2.0" customHeight="1">
      <c r="A673" s="106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2.0" customHeight="1">
      <c r="A674" s="106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2.0" customHeight="1">
      <c r="A675" s="106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2.0" customHeight="1">
      <c r="A676" s="106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2.0" customHeight="1">
      <c r="A677" s="106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2.0" customHeight="1">
      <c r="A678" s="106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2.0" customHeight="1">
      <c r="A679" s="106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2.0" customHeight="1">
      <c r="A680" s="106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2.0" customHeight="1">
      <c r="A681" s="106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2.0" customHeight="1">
      <c r="A682" s="106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2.0" customHeight="1">
      <c r="A683" s="106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2.0" customHeight="1">
      <c r="A684" s="106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2.0" customHeight="1">
      <c r="A685" s="106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2.0" customHeight="1">
      <c r="A686" s="106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2.0" customHeight="1">
      <c r="A687" s="106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2.0" customHeight="1">
      <c r="A688" s="106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2.0" customHeight="1">
      <c r="A689" s="106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2.0" customHeight="1">
      <c r="A690" s="106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2.0" customHeight="1">
      <c r="A691" s="106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2.0" customHeight="1">
      <c r="A692" s="106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2.0" customHeight="1">
      <c r="A693" s="106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2.0" customHeight="1">
      <c r="A694" s="106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2.0" customHeight="1">
      <c r="A695" s="106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2.0" customHeight="1">
      <c r="A696" s="106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2.0" customHeight="1">
      <c r="A697" s="106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2.0" customHeight="1">
      <c r="A698" s="106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2.0" customHeight="1">
      <c r="A699" s="106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2.0" customHeight="1">
      <c r="A700" s="106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2.0" customHeight="1">
      <c r="A701" s="106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2.0" customHeight="1">
      <c r="A702" s="106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2.0" customHeight="1">
      <c r="A703" s="106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2.0" customHeight="1">
      <c r="A704" s="106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2.0" customHeight="1">
      <c r="A705" s="106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2.0" customHeight="1">
      <c r="A706" s="106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2.0" customHeight="1">
      <c r="A707" s="106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2.0" customHeight="1">
      <c r="A708" s="106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2.0" customHeight="1">
      <c r="A709" s="106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2.0" customHeight="1">
      <c r="A710" s="106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2.0" customHeight="1">
      <c r="A711" s="106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2.0" customHeight="1">
      <c r="A712" s="106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2.0" customHeight="1">
      <c r="A713" s="106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2.0" customHeight="1">
      <c r="A714" s="106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2.0" customHeight="1">
      <c r="A715" s="106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2.0" customHeight="1">
      <c r="A716" s="106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2.0" customHeight="1">
      <c r="A717" s="106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2.0" customHeight="1">
      <c r="A718" s="106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2.0" customHeight="1">
      <c r="A719" s="106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2.0" customHeight="1">
      <c r="A720" s="106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2.0" customHeight="1">
      <c r="A721" s="106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2.0" customHeight="1">
      <c r="A722" s="106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2.0" customHeight="1">
      <c r="A723" s="106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2.0" customHeight="1">
      <c r="A724" s="106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2.0" customHeight="1">
      <c r="A725" s="106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2.0" customHeight="1">
      <c r="A726" s="106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2.0" customHeight="1">
      <c r="A727" s="106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2.0" customHeight="1">
      <c r="A728" s="106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2.0" customHeight="1">
      <c r="A729" s="106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2.0" customHeight="1">
      <c r="A730" s="106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2.0" customHeight="1">
      <c r="A731" s="106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2.0" customHeight="1">
      <c r="A732" s="106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2.0" customHeight="1">
      <c r="A733" s="106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2.0" customHeight="1">
      <c r="A734" s="106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2.0" customHeight="1">
      <c r="A735" s="106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2.0" customHeight="1">
      <c r="A736" s="106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2.0" customHeight="1">
      <c r="A737" s="106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2.0" customHeight="1">
      <c r="A738" s="106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2.0" customHeight="1">
      <c r="A739" s="106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2.0" customHeight="1">
      <c r="A740" s="106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2.0" customHeight="1">
      <c r="A741" s="106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2.0" customHeight="1">
      <c r="A742" s="106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2.0" customHeight="1">
      <c r="A743" s="106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2.0" customHeight="1">
      <c r="A744" s="106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2.0" customHeight="1">
      <c r="A745" s="106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2.0" customHeight="1">
      <c r="A746" s="106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2.0" customHeight="1">
      <c r="A747" s="106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2.0" customHeight="1">
      <c r="A748" s="106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2.0" customHeight="1">
      <c r="A749" s="106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2.0" customHeight="1">
      <c r="A750" s="106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2.0" customHeight="1">
      <c r="A751" s="106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2.0" customHeight="1">
      <c r="A752" s="106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2.0" customHeight="1">
      <c r="A753" s="106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2.0" customHeight="1">
      <c r="A754" s="106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2.0" customHeight="1">
      <c r="A755" s="106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2.0" customHeight="1">
      <c r="A756" s="106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2.0" customHeight="1">
      <c r="A757" s="106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2.0" customHeight="1">
      <c r="A758" s="106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2.0" customHeight="1">
      <c r="A759" s="106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2.0" customHeight="1">
      <c r="A760" s="106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2.0" customHeight="1">
      <c r="A761" s="106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2.0" customHeight="1">
      <c r="A762" s="106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2.0" customHeight="1">
      <c r="A763" s="106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2.0" customHeight="1">
      <c r="A764" s="106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2.0" customHeight="1">
      <c r="A765" s="106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2.0" customHeight="1">
      <c r="A766" s="106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2.0" customHeight="1">
      <c r="A767" s="106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2.0" customHeight="1">
      <c r="A768" s="106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2.0" customHeight="1">
      <c r="A769" s="106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2.0" customHeight="1">
      <c r="A770" s="106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2.0" customHeight="1">
      <c r="A771" s="106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2.0" customHeight="1">
      <c r="A772" s="106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2.0" customHeight="1">
      <c r="A773" s="106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2.0" customHeight="1">
      <c r="A774" s="106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2.0" customHeight="1">
      <c r="A775" s="106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2.0" customHeight="1">
      <c r="A776" s="106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2.0" customHeight="1">
      <c r="A777" s="106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2.0" customHeight="1">
      <c r="A778" s="106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2.0" customHeight="1">
      <c r="A779" s="106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2.0" customHeight="1">
      <c r="A780" s="106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2.0" customHeight="1">
      <c r="A781" s="106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2.0" customHeight="1">
      <c r="A782" s="106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2.0" customHeight="1">
      <c r="A783" s="106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2.0" customHeight="1">
      <c r="A784" s="106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2.0" customHeight="1">
      <c r="A785" s="106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2.0" customHeight="1">
      <c r="A786" s="106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2.0" customHeight="1">
      <c r="A787" s="106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2.0" customHeight="1">
      <c r="A788" s="106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2.0" customHeight="1">
      <c r="A789" s="106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2.0" customHeight="1">
      <c r="A790" s="106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2.0" customHeight="1">
      <c r="A791" s="106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2.0" customHeight="1">
      <c r="A792" s="106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2.0" customHeight="1">
      <c r="A793" s="106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2.0" customHeight="1">
      <c r="A794" s="106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2.0" customHeight="1">
      <c r="A795" s="106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2.0" customHeight="1">
      <c r="A796" s="106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2.0" customHeight="1">
      <c r="A797" s="106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2.0" customHeight="1">
      <c r="A798" s="106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2.0" customHeight="1">
      <c r="A799" s="106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2.0" customHeight="1">
      <c r="A800" s="106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2.0" customHeight="1">
      <c r="A801" s="106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2.0" customHeight="1">
      <c r="A802" s="106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2.0" customHeight="1">
      <c r="A803" s="106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2.0" customHeight="1">
      <c r="A804" s="106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2.0" customHeight="1">
      <c r="A805" s="106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2.0" customHeight="1">
      <c r="A806" s="106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2.0" customHeight="1">
      <c r="A807" s="106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2.0" customHeight="1">
      <c r="A808" s="106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2.0" customHeight="1">
      <c r="A809" s="106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2.0" customHeight="1">
      <c r="A810" s="106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2.0" customHeight="1">
      <c r="A811" s="106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2.0" customHeight="1">
      <c r="A812" s="106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2.0" customHeight="1">
      <c r="A813" s="106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2.0" customHeight="1">
      <c r="A814" s="106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2.0" customHeight="1">
      <c r="A815" s="106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2.0" customHeight="1">
      <c r="A816" s="106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2.0" customHeight="1">
      <c r="A817" s="106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2.0" customHeight="1">
      <c r="A818" s="106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2.0" customHeight="1">
      <c r="A819" s="106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2.0" customHeight="1">
      <c r="A820" s="106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2.0" customHeight="1">
      <c r="A821" s="106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2.0" customHeight="1">
      <c r="A822" s="106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2.0" customHeight="1">
      <c r="A823" s="106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2.0" customHeight="1">
      <c r="A824" s="106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2.0" customHeight="1">
      <c r="A825" s="106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2.0" customHeight="1">
      <c r="A826" s="106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2.0" customHeight="1">
      <c r="A827" s="106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2.0" customHeight="1">
      <c r="A828" s="106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2.0" customHeight="1">
      <c r="A829" s="106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2.0" customHeight="1">
      <c r="A830" s="106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2.0" customHeight="1">
      <c r="A831" s="106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2.0" customHeight="1">
      <c r="A832" s="106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2.0" customHeight="1">
      <c r="A833" s="106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2.0" customHeight="1">
      <c r="A834" s="106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2.0" customHeight="1">
      <c r="A835" s="106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2.0" customHeight="1">
      <c r="A836" s="106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2.0" customHeight="1">
      <c r="A837" s="106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2.0" customHeight="1">
      <c r="A838" s="106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2.0" customHeight="1">
      <c r="A839" s="106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2.0" customHeight="1">
      <c r="A840" s="106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2.0" customHeight="1">
      <c r="A841" s="106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2.0" customHeight="1">
      <c r="A842" s="106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2.0" customHeight="1">
      <c r="A843" s="106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2.0" customHeight="1">
      <c r="A844" s="106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2.0" customHeight="1">
      <c r="A845" s="106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2.0" customHeight="1">
      <c r="A846" s="106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2.0" customHeight="1">
      <c r="A847" s="106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2.0" customHeight="1">
      <c r="A848" s="106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2.0" customHeight="1">
      <c r="A849" s="106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2.0" customHeight="1">
      <c r="A850" s="106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2.0" customHeight="1">
      <c r="A851" s="106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2.0" customHeight="1">
      <c r="A852" s="106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2.0" customHeight="1">
      <c r="A853" s="106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2.0" customHeight="1">
      <c r="A854" s="106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2.0" customHeight="1">
      <c r="A855" s="106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2.0" customHeight="1">
      <c r="A856" s="106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2.0" customHeight="1">
      <c r="A857" s="106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2.0" customHeight="1">
      <c r="A858" s="106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2.0" customHeight="1">
      <c r="A859" s="106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2.0" customHeight="1">
      <c r="A860" s="106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2.0" customHeight="1">
      <c r="A861" s="106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2.0" customHeight="1">
      <c r="A862" s="106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2.0" customHeight="1">
      <c r="A863" s="106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2.0" customHeight="1">
      <c r="A864" s="106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2.0" customHeight="1">
      <c r="A865" s="106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2.0" customHeight="1">
      <c r="A866" s="106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2.0" customHeight="1">
      <c r="A867" s="106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2.0" customHeight="1">
      <c r="A868" s="106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2.0" customHeight="1">
      <c r="A869" s="106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2.0" customHeight="1">
      <c r="A870" s="106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2.0" customHeight="1">
      <c r="A871" s="106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2.0" customHeight="1">
      <c r="A872" s="106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2.0" customHeight="1">
      <c r="A873" s="106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2.0" customHeight="1">
      <c r="A874" s="106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2.0" customHeight="1">
      <c r="A875" s="106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2.0" customHeight="1">
      <c r="A876" s="106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2.0" customHeight="1">
      <c r="A877" s="106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2.0" customHeight="1">
      <c r="A878" s="106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2.0" customHeight="1">
      <c r="A879" s="106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2.0" customHeight="1">
      <c r="A880" s="106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2.0" customHeight="1">
      <c r="A881" s="106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2.0" customHeight="1">
      <c r="A882" s="106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2.0" customHeight="1">
      <c r="A883" s="106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2.0" customHeight="1">
      <c r="A884" s="106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2.0" customHeight="1">
      <c r="A885" s="106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2.0" customHeight="1">
      <c r="A886" s="106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2.0" customHeight="1">
      <c r="A887" s="106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2.0" customHeight="1">
      <c r="A888" s="106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2.0" customHeight="1">
      <c r="A889" s="106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2.0" customHeight="1">
      <c r="A890" s="106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2.0" customHeight="1">
      <c r="A891" s="106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2.0" customHeight="1">
      <c r="A892" s="106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2.0" customHeight="1">
      <c r="A893" s="106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2.0" customHeight="1">
      <c r="A894" s="106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2.0" customHeight="1">
      <c r="A895" s="106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2.0" customHeight="1">
      <c r="A896" s="106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2.0" customHeight="1">
      <c r="A897" s="106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2.0" customHeight="1">
      <c r="A898" s="106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2.0" customHeight="1">
      <c r="A899" s="106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2.0" customHeight="1">
      <c r="A900" s="106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2.0" customHeight="1">
      <c r="A901" s="106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2.0" customHeight="1">
      <c r="A902" s="106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2.0" customHeight="1">
      <c r="A903" s="106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2.0" customHeight="1">
      <c r="A904" s="106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2.0" customHeight="1">
      <c r="A905" s="106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2.0" customHeight="1">
      <c r="A906" s="106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2.0" customHeight="1">
      <c r="A907" s="106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2.0" customHeight="1">
      <c r="A908" s="106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2.0" customHeight="1">
      <c r="A909" s="106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2.0" customHeight="1">
      <c r="A910" s="106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2.0" customHeight="1">
      <c r="A911" s="106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2.0" customHeight="1">
      <c r="A912" s="106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2.0" customHeight="1">
      <c r="A913" s="106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2.0" customHeight="1">
      <c r="A914" s="106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2.0" customHeight="1">
      <c r="A915" s="106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2.0" customHeight="1">
      <c r="A916" s="106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2.0" customHeight="1">
      <c r="A917" s="106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2.0" customHeight="1">
      <c r="A918" s="106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2.0" customHeight="1">
      <c r="A919" s="106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2.0" customHeight="1">
      <c r="A920" s="106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2.0" customHeight="1">
      <c r="A921" s="106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2.0" customHeight="1">
      <c r="A922" s="106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2.0" customHeight="1">
      <c r="A923" s="106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2.0" customHeight="1">
      <c r="A924" s="106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2.0" customHeight="1">
      <c r="A925" s="106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2.0" customHeight="1">
      <c r="A926" s="106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2.0" customHeight="1">
      <c r="A927" s="106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2.0" customHeight="1">
      <c r="A928" s="106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2.0" customHeight="1">
      <c r="A929" s="106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2.0" customHeight="1">
      <c r="A930" s="106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2.0" customHeight="1">
      <c r="A931" s="106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2.0" customHeight="1">
      <c r="A932" s="106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2.0" customHeight="1">
      <c r="A933" s="106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2.0" customHeight="1">
      <c r="A934" s="106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2.0" customHeight="1">
      <c r="A935" s="106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2.0" customHeight="1">
      <c r="A936" s="106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2.0" customHeight="1">
      <c r="A937" s="106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2.0" customHeight="1">
      <c r="A938" s="106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2.0" customHeight="1">
      <c r="A939" s="106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2.0" customHeight="1">
      <c r="A940" s="106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2.0" customHeight="1">
      <c r="A941" s="106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2.0" customHeight="1">
      <c r="A942" s="106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2.0" customHeight="1">
      <c r="A943" s="106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2.0" customHeight="1">
      <c r="A944" s="106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2.0" customHeight="1">
      <c r="A945" s="106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2.0" customHeight="1">
      <c r="A946" s="106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2.0" customHeight="1">
      <c r="A947" s="106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2.0" customHeight="1">
      <c r="A948" s="106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2.0" customHeight="1">
      <c r="A949" s="106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2.0" customHeight="1">
      <c r="A950" s="106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2.0" customHeight="1">
      <c r="A951" s="106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2.0" customHeight="1">
      <c r="A952" s="106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2.0" customHeight="1">
      <c r="A953" s="106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2.0" customHeight="1">
      <c r="A954" s="106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2.0" customHeight="1">
      <c r="A955" s="106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2.0" customHeight="1">
      <c r="A956" s="106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2.0" customHeight="1">
      <c r="A957" s="106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2.0" customHeight="1">
      <c r="A958" s="106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2.0" customHeight="1">
      <c r="A959" s="106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2.0" customHeight="1">
      <c r="A960" s="106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2.0" customHeight="1">
      <c r="A961" s="106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2.0" customHeight="1">
      <c r="A962" s="106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2.0" customHeight="1">
      <c r="A963" s="106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2.0" customHeight="1">
      <c r="A964" s="106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2.0" customHeight="1">
      <c r="A965" s="106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2.0" customHeight="1">
      <c r="A966" s="106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2.0" customHeight="1">
      <c r="A967" s="106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2.0" customHeight="1">
      <c r="A968" s="106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2.0" customHeight="1">
      <c r="A969" s="106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2.0" customHeight="1">
      <c r="A970" s="106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2.0" customHeight="1">
      <c r="A971" s="106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2.0" customHeight="1">
      <c r="A972" s="106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2.0" customHeight="1">
      <c r="A973" s="106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2.0" customHeight="1">
      <c r="A974" s="106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2.0" customHeight="1">
      <c r="A975" s="106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2.0" customHeight="1">
      <c r="A976" s="106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2.0" customHeight="1">
      <c r="A977" s="106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2.0" customHeight="1">
      <c r="A978" s="106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2.0" customHeight="1">
      <c r="A979" s="106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2.0" customHeight="1">
      <c r="A980" s="106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2.0" customHeight="1">
      <c r="A981" s="106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2.0" customHeight="1">
      <c r="A982" s="106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2.0" customHeight="1">
      <c r="A983" s="106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2.0" customHeight="1">
      <c r="A984" s="106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2.0" customHeight="1">
      <c r="A985" s="106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2.0" customHeight="1">
      <c r="A986" s="106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2.0" customHeight="1">
      <c r="A987" s="106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2.0" customHeight="1">
      <c r="A988" s="106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2.0" customHeight="1">
      <c r="A989" s="106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2.0" customHeight="1">
      <c r="A990" s="106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2.0" customHeight="1">
      <c r="A991" s="106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2.0" customHeight="1">
      <c r="A992" s="106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2.0" customHeight="1">
      <c r="A993" s="106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2.0" customHeight="1">
      <c r="A994" s="106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2.0" customHeight="1">
      <c r="A995" s="106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2.0" customHeight="1">
      <c r="A996" s="106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2.0" customHeight="1">
      <c r="A997" s="106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2.0" customHeight="1">
      <c r="A998" s="106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2.0" customHeight="1">
      <c r="A999" s="106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2.0" customHeight="1">
      <c r="A1000" s="106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3">
    <mergeCell ref="A7:N7"/>
    <mergeCell ref="A8:N8"/>
    <mergeCell ref="A39:M39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2.43"/>
    <col customWidth="1" min="2" max="6" width="14.71"/>
    <col customWidth="1" min="7" max="7" width="18.71"/>
    <col customWidth="1" min="8" max="14" width="14.71"/>
    <col customWidth="1" min="15" max="26" width="8.71"/>
  </cols>
  <sheetData>
    <row r="1" ht="12.0" customHeight="1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2.0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2.0" customHeight="1">
      <c r="A3" s="4"/>
      <c r="B3" s="51"/>
      <c r="C3" s="51"/>
      <c r="D3" s="51"/>
      <c r="E3" s="3" t="s">
        <v>0</v>
      </c>
      <c r="F3" s="51"/>
      <c r="G3" s="51"/>
      <c r="H3" s="51"/>
      <c r="I3" s="51"/>
      <c r="J3" s="51"/>
      <c r="K3" s="51"/>
      <c r="L3" s="51"/>
      <c r="M3" s="51"/>
      <c r="N3" s="51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2.0" customHeight="1">
      <c r="A4" s="4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12.0" customHeight="1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2.0" customHeight="1">
      <c r="A6" s="94" t="s">
        <v>20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ht="12.0" customHeight="1">
      <c r="A7" s="8" t="s">
        <v>2</v>
      </c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12.0" customHeight="1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12.0" customHeight="1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2.0" customHeight="1">
      <c r="A10" s="83" t="s">
        <v>101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2.0" customHeight="1">
      <c r="A11" s="108" t="s">
        <v>75</v>
      </c>
      <c r="B11" s="31">
        <v>66459.77661113249</v>
      </c>
      <c r="C11" s="31">
        <v>69338.75170981494</v>
      </c>
      <c r="D11" s="31">
        <v>60223.14375737617</v>
      </c>
      <c r="E11" s="31">
        <v>73726.04193742154</v>
      </c>
      <c r="F11" s="31">
        <v>83817.53060424047</v>
      </c>
      <c r="G11" s="31">
        <v>74317.16141813199</v>
      </c>
      <c r="H11" s="31">
        <v>74210.95151463934</v>
      </c>
      <c r="I11" s="31">
        <v>69315.82926975476</v>
      </c>
      <c r="J11" s="31">
        <v>76572.14171091527</v>
      </c>
      <c r="K11" s="31">
        <v>73504.77474111936</v>
      </c>
      <c r="L11" s="31">
        <v>77107.32916696384</v>
      </c>
      <c r="M11" s="31">
        <v>66281.34716545278</v>
      </c>
      <c r="N11" s="25">
        <f>SUM(B11:M11)</f>
        <v>864874.7796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2.0" customHeight="1">
      <c r="A12" s="22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2.0" customHeight="1">
      <c r="A13" s="33" t="s">
        <v>31</v>
      </c>
      <c r="B13" s="31">
        <v>2437.7706939586346</v>
      </c>
      <c r="C13" s="31">
        <v>2736.25751134186</v>
      </c>
      <c r="D13" s="31">
        <v>1640.1144885133626</v>
      </c>
      <c r="E13" s="31">
        <v>2036.1248001010679</v>
      </c>
      <c r="F13" s="31">
        <v>3102.046119670019</v>
      </c>
      <c r="G13" s="31">
        <v>3259.0674947834104</v>
      </c>
      <c r="H13" s="31">
        <v>3505.0397572</v>
      </c>
      <c r="I13" s="31">
        <v>2082.7924141</v>
      </c>
      <c r="J13" s="31">
        <v>4921.9263957</v>
      </c>
      <c r="K13" s="31">
        <v>4708.354494</v>
      </c>
      <c r="L13" s="31">
        <v>3905.1392907</v>
      </c>
      <c r="M13" s="31">
        <v>2878.4543002717787</v>
      </c>
      <c r="N13" s="25">
        <f t="shared" ref="N13:N22" si="1">SUM(B13:M13)</f>
        <v>37213.08776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2.0" customHeight="1">
      <c r="A14" s="33" t="s">
        <v>32</v>
      </c>
      <c r="B14" s="31">
        <v>0.0</v>
      </c>
      <c r="C14" s="31">
        <v>89.032588326</v>
      </c>
      <c r="D14" s="31">
        <v>714.145869875</v>
      </c>
      <c r="E14" s="31">
        <v>496.28331054</v>
      </c>
      <c r="F14" s="31">
        <v>0.0</v>
      </c>
      <c r="G14" s="31">
        <v>0.0</v>
      </c>
      <c r="H14" s="31">
        <v>181.55</v>
      </c>
      <c r="I14" s="31">
        <v>0.0</v>
      </c>
      <c r="J14" s="31">
        <v>0.0</v>
      </c>
      <c r="K14" s="31">
        <v>0.0</v>
      </c>
      <c r="L14" s="31">
        <v>0.0</v>
      </c>
      <c r="M14" s="31">
        <v>0.0</v>
      </c>
      <c r="N14" s="25">
        <f t="shared" si="1"/>
        <v>1481.011769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2.0" customHeight="1">
      <c r="A15" s="33" t="s">
        <v>33</v>
      </c>
      <c r="B15" s="31">
        <v>358.77017384120995</v>
      </c>
      <c r="C15" s="31">
        <v>329.8871643</v>
      </c>
      <c r="D15" s="31">
        <v>640.6785717610001</v>
      </c>
      <c r="E15" s="31">
        <v>519.9244238599999</v>
      </c>
      <c r="F15" s="31">
        <v>581.9666837</v>
      </c>
      <c r="G15" s="31">
        <v>999.394097846</v>
      </c>
      <c r="H15" s="31">
        <v>462.0812663</v>
      </c>
      <c r="I15" s="31">
        <v>685.3405744</v>
      </c>
      <c r="J15" s="31">
        <v>602.9948097</v>
      </c>
      <c r="K15" s="31">
        <v>405.76946269999996</v>
      </c>
      <c r="L15" s="31">
        <v>358.3832792</v>
      </c>
      <c r="M15" s="31">
        <v>98.8929561</v>
      </c>
      <c r="N15" s="25">
        <f t="shared" si="1"/>
        <v>6044.083464</v>
      </c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2.0" customHeight="1">
      <c r="A16" s="33" t="s">
        <v>34</v>
      </c>
      <c r="B16" s="31">
        <v>0.0</v>
      </c>
      <c r="C16" s="31">
        <v>0.0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25">
        <f t="shared" si="1"/>
        <v>0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2.0" customHeight="1">
      <c r="A17" s="33" t="s">
        <v>35</v>
      </c>
      <c r="B17" s="31">
        <v>0.0</v>
      </c>
      <c r="C17" s="31">
        <v>0.0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25">
        <f t="shared" si="1"/>
        <v>0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2.0" customHeight="1">
      <c r="A18" s="33" t="s">
        <v>36</v>
      </c>
      <c r="B18" s="31">
        <v>22.6174625</v>
      </c>
      <c r="C18" s="31">
        <v>80.6044951</v>
      </c>
      <c r="D18" s="31">
        <v>2.1519586</v>
      </c>
      <c r="E18" s="31">
        <v>9.991658</v>
      </c>
      <c r="F18" s="31">
        <v>20.0689689</v>
      </c>
      <c r="G18" s="31">
        <v>4.4380722</v>
      </c>
      <c r="H18" s="31">
        <v>20.2548793</v>
      </c>
      <c r="I18" s="31">
        <v>175.8684389</v>
      </c>
      <c r="J18" s="31">
        <v>24.5868749</v>
      </c>
      <c r="K18" s="31">
        <v>11.2566358</v>
      </c>
      <c r="L18" s="31">
        <v>52.3102689</v>
      </c>
      <c r="M18" s="31">
        <v>27.5259093</v>
      </c>
      <c r="N18" s="25">
        <f t="shared" si="1"/>
        <v>451.6756224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2.0" customHeight="1">
      <c r="A19" s="33" t="s">
        <v>37</v>
      </c>
      <c r="B19" s="31">
        <v>805.5671600999999</v>
      </c>
      <c r="C19" s="31">
        <v>1141.6807083</v>
      </c>
      <c r="D19" s="31">
        <v>818.4128185</v>
      </c>
      <c r="E19" s="31">
        <v>1073.5171559999999</v>
      </c>
      <c r="F19" s="31">
        <v>1004.7927064</v>
      </c>
      <c r="G19" s="31">
        <v>742.1633458</v>
      </c>
      <c r="H19" s="31">
        <v>1291.2095981</v>
      </c>
      <c r="I19" s="31">
        <v>851.5159118</v>
      </c>
      <c r="J19" s="31">
        <v>1357.9022643</v>
      </c>
      <c r="K19" s="31">
        <v>1622.4151144</v>
      </c>
      <c r="L19" s="31">
        <v>1231.7790503</v>
      </c>
      <c r="M19" s="31">
        <v>1043.5629839</v>
      </c>
      <c r="N19" s="25">
        <f t="shared" si="1"/>
        <v>12984.51882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2.0" customHeight="1">
      <c r="A20" s="33" t="s">
        <v>38</v>
      </c>
      <c r="B20" s="31">
        <v>400.6239826</v>
      </c>
      <c r="C20" s="31">
        <v>196.4941056</v>
      </c>
      <c r="D20" s="31">
        <v>182.1121262</v>
      </c>
      <c r="E20" s="31">
        <v>717.6664742</v>
      </c>
      <c r="F20" s="31">
        <v>631.7355134</v>
      </c>
      <c r="G20" s="31">
        <v>609.3151108</v>
      </c>
      <c r="H20" s="31">
        <v>798.6875265</v>
      </c>
      <c r="I20" s="31">
        <v>176.56981309999998</v>
      </c>
      <c r="J20" s="31">
        <v>542.7935742110001</v>
      </c>
      <c r="K20" s="31">
        <v>292.340731328</v>
      </c>
      <c r="L20" s="31">
        <v>419.5110879470006</v>
      </c>
      <c r="M20" s="31">
        <v>790.848592771</v>
      </c>
      <c r="N20" s="25">
        <f t="shared" si="1"/>
        <v>5758.698639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33" t="s">
        <v>39</v>
      </c>
      <c r="B21" s="31">
        <v>74.68194</v>
      </c>
      <c r="C21" s="31">
        <v>97.1726972</v>
      </c>
      <c r="D21" s="31">
        <v>22.0477471</v>
      </c>
      <c r="E21" s="31">
        <v>22.8111106</v>
      </c>
      <c r="F21" s="31">
        <v>5.1042881</v>
      </c>
      <c r="G21" s="31">
        <v>15.5703072</v>
      </c>
      <c r="H21" s="31">
        <v>38.4833801</v>
      </c>
      <c r="I21" s="31">
        <v>61.7485111</v>
      </c>
      <c r="J21" s="31">
        <v>76.6426184</v>
      </c>
      <c r="K21" s="31">
        <v>65.7480692</v>
      </c>
      <c r="L21" s="31">
        <v>214.7806774</v>
      </c>
      <c r="M21" s="31">
        <v>106.168954</v>
      </c>
      <c r="N21" s="25">
        <f t="shared" si="1"/>
        <v>800.9603004</v>
      </c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2.0" customHeight="1">
      <c r="A22" s="33" t="s">
        <v>110</v>
      </c>
      <c r="B22" s="31">
        <v>708.0889801263229</v>
      </c>
      <c r="C22" s="31">
        <v>866.993944875001</v>
      </c>
      <c r="D22" s="31">
        <v>725.6114261999996</v>
      </c>
      <c r="E22" s="31">
        <v>970.8997848099998</v>
      </c>
      <c r="F22" s="31">
        <v>864.114623165</v>
      </c>
      <c r="G22" s="31">
        <v>1181.6079929190018</v>
      </c>
      <c r="H22" s="31">
        <v>876.6244497619991</v>
      </c>
      <c r="I22" s="31">
        <v>1167.9592627000002</v>
      </c>
      <c r="J22" s="31">
        <v>681.8438593390001</v>
      </c>
      <c r="K22" s="31">
        <v>1304.3869556</v>
      </c>
      <c r="L22" s="31">
        <v>838.591577799999</v>
      </c>
      <c r="M22" s="31">
        <v>975.4256502180015</v>
      </c>
      <c r="N22" s="25">
        <f t="shared" si="1"/>
        <v>11162.14851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2.0" customHeight="1">
      <c r="A23" s="88" t="s">
        <v>103</v>
      </c>
      <c r="B23" s="63">
        <f t="shared" ref="B23:N23" si="2">SUM(B13:B22)</f>
        <v>4808.120393</v>
      </c>
      <c r="C23" s="63">
        <f t="shared" si="2"/>
        <v>5538.123215</v>
      </c>
      <c r="D23" s="63">
        <f t="shared" si="2"/>
        <v>4745.275007</v>
      </c>
      <c r="E23" s="63">
        <f t="shared" si="2"/>
        <v>5847.218718</v>
      </c>
      <c r="F23" s="63">
        <f t="shared" si="2"/>
        <v>6209.828903</v>
      </c>
      <c r="G23" s="63">
        <f t="shared" si="2"/>
        <v>6811.556422</v>
      </c>
      <c r="H23" s="63">
        <f t="shared" si="2"/>
        <v>7173.930857</v>
      </c>
      <c r="I23" s="63">
        <f t="shared" si="2"/>
        <v>5201.794926</v>
      </c>
      <c r="J23" s="63">
        <f t="shared" si="2"/>
        <v>8208.690397</v>
      </c>
      <c r="K23" s="63">
        <f t="shared" si="2"/>
        <v>8410.271463</v>
      </c>
      <c r="L23" s="63">
        <f t="shared" si="2"/>
        <v>7020.495232</v>
      </c>
      <c r="M23" s="63">
        <f t="shared" si="2"/>
        <v>5920.879347</v>
      </c>
      <c r="N23" s="63">
        <f t="shared" si="2"/>
        <v>75896.18488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2.0" customHeight="1">
      <c r="A24" s="89" t="s">
        <v>80</v>
      </c>
      <c r="B24" s="63">
        <f t="shared" ref="B24:F24" si="3">+B23+B11</f>
        <v>71267.897</v>
      </c>
      <c r="C24" s="63">
        <f t="shared" si="3"/>
        <v>74876.87492</v>
      </c>
      <c r="D24" s="63">
        <f t="shared" si="3"/>
        <v>64968.41876</v>
      </c>
      <c r="E24" s="63">
        <f t="shared" si="3"/>
        <v>79573.26066</v>
      </c>
      <c r="F24" s="63">
        <f t="shared" si="3"/>
        <v>90027.35951</v>
      </c>
      <c r="G24" s="63">
        <f t="shared" ref="G24:N24" si="4">+G11+G23</f>
        <v>81128.71784</v>
      </c>
      <c r="H24" s="63">
        <f t="shared" si="4"/>
        <v>81384.88237</v>
      </c>
      <c r="I24" s="63">
        <f t="shared" si="4"/>
        <v>74517.6242</v>
      </c>
      <c r="J24" s="63">
        <f t="shared" si="4"/>
        <v>84780.83211</v>
      </c>
      <c r="K24" s="63">
        <f t="shared" si="4"/>
        <v>81915.0462</v>
      </c>
      <c r="L24" s="63">
        <f t="shared" si="4"/>
        <v>84127.8244</v>
      </c>
      <c r="M24" s="63">
        <f t="shared" si="4"/>
        <v>72202.22651</v>
      </c>
      <c r="N24" s="63">
        <f t="shared" si="4"/>
        <v>940770.9645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2.0" customHeight="1">
      <c r="A25" s="87" t="s">
        <v>104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5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2.0" customHeight="1">
      <c r="A26" s="33" t="s">
        <v>31</v>
      </c>
      <c r="B26" s="31">
        <v>121.619</v>
      </c>
      <c r="C26" s="31">
        <v>103.034</v>
      </c>
      <c r="D26" s="31">
        <v>98.211</v>
      </c>
      <c r="E26" s="31">
        <v>108.648</v>
      </c>
      <c r="F26" s="31">
        <v>129.101</v>
      </c>
      <c r="G26" s="31">
        <v>121.7</v>
      </c>
      <c r="H26" s="31">
        <v>106.1</v>
      </c>
      <c r="I26" s="31">
        <v>114.394</v>
      </c>
      <c r="J26" s="31">
        <v>143.544</v>
      </c>
      <c r="K26" s="31">
        <v>205.834</v>
      </c>
      <c r="L26" s="31">
        <v>169.567</v>
      </c>
      <c r="M26" s="31">
        <v>166.93</v>
      </c>
      <c r="N26" s="25">
        <f t="shared" ref="N26:N36" si="5">SUM(B26:M26)</f>
        <v>1588.682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2.0" customHeight="1">
      <c r="A27" s="33" t="s">
        <v>81</v>
      </c>
      <c r="B27" s="31">
        <v>6484.084662493745</v>
      </c>
      <c r="C27" s="31">
        <v>7619.340861768891</v>
      </c>
      <c r="D27" s="31">
        <v>8792.054120034001</v>
      </c>
      <c r="E27" s="31">
        <v>7872.679547642802</v>
      </c>
      <c r="F27" s="31">
        <v>8831.028609664376</v>
      </c>
      <c r="G27" s="31">
        <v>8298.554177466442</v>
      </c>
      <c r="H27" s="31">
        <v>7369.7170094717185</v>
      </c>
      <c r="I27" s="31">
        <v>7009.182256242984</v>
      </c>
      <c r="J27" s="31">
        <v>8247.721861672</v>
      </c>
      <c r="K27" s="31">
        <v>6269.766956086745</v>
      </c>
      <c r="L27" s="31">
        <v>6563.814037462999</v>
      </c>
      <c r="M27" s="31">
        <v>9619.376340875498</v>
      </c>
      <c r="N27" s="25">
        <f t="shared" si="5"/>
        <v>92977.32044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33" t="s">
        <v>33</v>
      </c>
      <c r="B28" s="31">
        <v>2957.966583506757</v>
      </c>
      <c r="C28" s="31">
        <v>3591.958430831924</v>
      </c>
      <c r="D28" s="31">
        <v>3399.4256987847266</v>
      </c>
      <c r="E28" s="31">
        <v>4110.947958684265</v>
      </c>
      <c r="F28" s="31">
        <v>4806.968220221896</v>
      </c>
      <c r="G28" s="31">
        <v>3995.275699449707</v>
      </c>
      <c r="H28" s="31">
        <v>4454.518801948387</v>
      </c>
      <c r="I28" s="31">
        <v>3422.155321666518</v>
      </c>
      <c r="J28" s="31">
        <v>4235.389280015437</v>
      </c>
      <c r="K28" s="31">
        <v>3697.0714953758597</v>
      </c>
      <c r="L28" s="31">
        <v>3565.2231789006846</v>
      </c>
      <c r="M28" s="31">
        <v>3822.270451049902</v>
      </c>
      <c r="N28" s="25">
        <f t="shared" si="5"/>
        <v>46059.17112</v>
      </c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2.0" customHeight="1">
      <c r="A29" s="90" t="s">
        <v>83</v>
      </c>
      <c r="B29" s="31">
        <v>2747.846</v>
      </c>
      <c r="C29" s="31">
        <v>2704.1220000000003</v>
      </c>
      <c r="D29" s="31">
        <v>1811.646</v>
      </c>
      <c r="E29" s="31">
        <v>2368.8060000000005</v>
      </c>
      <c r="F29" s="31">
        <v>2751.6249999999995</v>
      </c>
      <c r="G29" s="31">
        <v>3468.652810655784</v>
      </c>
      <c r="H29" s="31">
        <v>3205.696</v>
      </c>
      <c r="I29" s="31">
        <v>3178.9740871430004</v>
      </c>
      <c r="J29" s="31">
        <v>3088.370885924</v>
      </c>
      <c r="K29" s="31">
        <v>2266.660544481</v>
      </c>
      <c r="L29" s="31">
        <v>2748.913548679</v>
      </c>
      <c r="M29" s="31">
        <v>2904.995933773</v>
      </c>
      <c r="N29" s="25">
        <f t="shared" si="5"/>
        <v>33246.30881</v>
      </c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2.0" customHeight="1">
      <c r="A30" s="90" t="s">
        <v>35</v>
      </c>
      <c r="B30" s="31">
        <v>6.19</v>
      </c>
      <c r="C30" s="31">
        <v>6.952</v>
      </c>
      <c r="D30" s="31">
        <v>7.023</v>
      </c>
      <c r="E30" s="31">
        <v>8.0</v>
      </c>
      <c r="F30" s="31">
        <v>6.493</v>
      </c>
      <c r="G30" s="31">
        <v>7.464</v>
      </c>
      <c r="H30" s="31">
        <v>9.284</v>
      </c>
      <c r="I30" s="31">
        <v>5.242</v>
      </c>
      <c r="J30" s="31">
        <v>8.958</v>
      </c>
      <c r="K30" s="31">
        <v>14.168</v>
      </c>
      <c r="L30" s="31">
        <v>11.703</v>
      </c>
      <c r="M30" s="31">
        <v>6.978</v>
      </c>
      <c r="N30" s="25">
        <f t="shared" si="5"/>
        <v>98.455</v>
      </c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2.0" customHeight="1">
      <c r="A31" s="90" t="s">
        <v>36</v>
      </c>
      <c r="B31" s="31">
        <v>7714.777261356</v>
      </c>
      <c r="C31" s="31">
        <v>8692.850105290376</v>
      </c>
      <c r="D31" s="31">
        <v>9457.467611671</v>
      </c>
      <c r="E31" s="31">
        <v>13080.187869685662</v>
      </c>
      <c r="F31" s="31">
        <v>14163.9100532888</v>
      </c>
      <c r="G31" s="31">
        <v>20010.13336496239</v>
      </c>
      <c r="H31" s="31">
        <v>13573.647328985746</v>
      </c>
      <c r="I31" s="31">
        <v>11787.541205209991</v>
      </c>
      <c r="J31" s="31">
        <v>15064.123599768003</v>
      </c>
      <c r="K31" s="31">
        <v>8863.781000808405</v>
      </c>
      <c r="L31" s="31">
        <v>11829.177963718756</v>
      </c>
      <c r="M31" s="31">
        <v>13900.535338350053</v>
      </c>
      <c r="N31" s="25">
        <f t="shared" si="5"/>
        <v>148138.1327</v>
      </c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2.0" customHeight="1">
      <c r="A32" s="90" t="s">
        <v>46</v>
      </c>
      <c r="B32" s="31">
        <v>0.0</v>
      </c>
      <c r="C32" s="31">
        <v>0.0</v>
      </c>
      <c r="D32" s="31">
        <v>0.0</v>
      </c>
      <c r="E32" s="31">
        <v>0.0</v>
      </c>
      <c r="F32" s="31">
        <v>0.0</v>
      </c>
      <c r="G32" s="31">
        <v>0.0</v>
      </c>
      <c r="H32" s="31">
        <v>35.053568</v>
      </c>
      <c r="I32" s="31">
        <v>36.188432</v>
      </c>
      <c r="J32" s="31">
        <v>29.307445</v>
      </c>
      <c r="K32" s="31">
        <v>34.417736000000005</v>
      </c>
      <c r="L32" s="31">
        <v>0.0</v>
      </c>
      <c r="M32" s="31">
        <v>0.0</v>
      </c>
      <c r="N32" s="25">
        <f t="shared" si="5"/>
        <v>134.967181</v>
      </c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2.0" customHeight="1">
      <c r="A33" s="90" t="s">
        <v>47</v>
      </c>
      <c r="B33" s="31">
        <v>20.4801488</v>
      </c>
      <c r="C33" s="31">
        <v>3.6432319</v>
      </c>
      <c r="D33" s="31">
        <v>41.304593499999996</v>
      </c>
      <c r="E33" s="31">
        <v>8.880729</v>
      </c>
      <c r="F33" s="31">
        <v>8.3693369</v>
      </c>
      <c r="G33" s="31">
        <v>8.5713856</v>
      </c>
      <c r="H33" s="31">
        <v>5.7906021</v>
      </c>
      <c r="I33" s="31">
        <v>6.7224149</v>
      </c>
      <c r="J33" s="31">
        <v>6.2803509</v>
      </c>
      <c r="K33" s="31">
        <v>9.788541899999998</v>
      </c>
      <c r="L33" s="31">
        <v>7.8288871</v>
      </c>
      <c r="M33" s="31">
        <v>10.6907549</v>
      </c>
      <c r="N33" s="25">
        <f t="shared" si="5"/>
        <v>138.3509775</v>
      </c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2.0" customHeight="1">
      <c r="A34" s="90" t="s">
        <v>38</v>
      </c>
      <c r="B34" s="31">
        <v>1628.3000111000001</v>
      </c>
      <c r="C34" s="31">
        <v>1397.6522117660002</v>
      </c>
      <c r="D34" s="31">
        <v>1923.3804844739998</v>
      </c>
      <c r="E34" s="31">
        <v>1999.6591195434735</v>
      </c>
      <c r="F34" s="31">
        <v>2902.312342853027</v>
      </c>
      <c r="G34" s="31">
        <v>2130.961741840845</v>
      </c>
      <c r="H34" s="31">
        <v>2161.0048258</v>
      </c>
      <c r="I34" s="31">
        <v>1859.5315968550003</v>
      </c>
      <c r="J34" s="31">
        <v>1632.6987077059998</v>
      </c>
      <c r="K34" s="31">
        <v>1065.896774595</v>
      </c>
      <c r="L34" s="31">
        <v>1930.609674306</v>
      </c>
      <c r="M34" s="31">
        <v>1775.0794814162746</v>
      </c>
      <c r="N34" s="25">
        <f t="shared" si="5"/>
        <v>22407.08697</v>
      </c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2.0" customHeight="1">
      <c r="A35" s="90" t="s">
        <v>39</v>
      </c>
      <c r="B35" s="31">
        <v>15.1307464</v>
      </c>
      <c r="C35" s="31">
        <v>21.4989246</v>
      </c>
      <c r="D35" s="31">
        <v>16.916295</v>
      </c>
      <c r="E35" s="31">
        <v>55.7694992</v>
      </c>
      <c r="F35" s="31">
        <v>51.4219166</v>
      </c>
      <c r="G35" s="31">
        <v>31.7545701</v>
      </c>
      <c r="H35" s="31">
        <v>40.03307277</v>
      </c>
      <c r="I35" s="31">
        <v>34.360431199999994</v>
      </c>
      <c r="J35" s="31">
        <v>28.408240600000003</v>
      </c>
      <c r="K35" s="31">
        <v>11.825739500000001</v>
      </c>
      <c r="L35" s="31">
        <v>12.737410200000001</v>
      </c>
      <c r="M35" s="31">
        <v>1.4546979</v>
      </c>
      <c r="N35" s="25">
        <f t="shared" si="5"/>
        <v>321.3115441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2.0" customHeight="1">
      <c r="A36" s="31" t="s">
        <v>111</v>
      </c>
      <c r="B36" s="31">
        <v>1213.4212155740024</v>
      </c>
      <c r="C36" s="31">
        <v>1861.5407321699931</v>
      </c>
      <c r="D36" s="31">
        <v>1635.8243868710015</v>
      </c>
      <c r="E36" s="31">
        <v>1474.3869400000003</v>
      </c>
      <c r="F36" s="31">
        <v>2592.790137370008</v>
      </c>
      <c r="G36" s="31">
        <v>2585.5541586461914</v>
      </c>
      <c r="H36" s="31">
        <v>2214.065594464926</v>
      </c>
      <c r="I36" s="31">
        <v>2093.703187710995</v>
      </c>
      <c r="J36" s="31">
        <v>2793.3076987702043</v>
      </c>
      <c r="K36" s="31">
        <v>909.883950657997</v>
      </c>
      <c r="L36" s="31">
        <v>1795.1343787609949</v>
      </c>
      <c r="M36" s="31">
        <v>1999.6679606240068</v>
      </c>
      <c r="N36" s="25">
        <f t="shared" si="5"/>
        <v>23169.28034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2.0" customHeight="1">
      <c r="A37" s="89" t="s">
        <v>107</v>
      </c>
      <c r="B37" s="63">
        <f t="shared" ref="B37:N37" si="6">SUM(B26:B36)</f>
        <v>22909.81563</v>
      </c>
      <c r="C37" s="63">
        <f t="shared" si="6"/>
        <v>26002.5925</v>
      </c>
      <c r="D37" s="63">
        <f t="shared" si="6"/>
        <v>27183.25319</v>
      </c>
      <c r="E37" s="63">
        <f t="shared" si="6"/>
        <v>31087.96566</v>
      </c>
      <c r="F37" s="63">
        <f t="shared" si="6"/>
        <v>36244.01962</v>
      </c>
      <c r="G37" s="63">
        <f t="shared" si="6"/>
        <v>40658.62191</v>
      </c>
      <c r="H37" s="63">
        <f t="shared" si="6"/>
        <v>33174.9108</v>
      </c>
      <c r="I37" s="63">
        <f t="shared" si="6"/>
        <v>29547.99493</v>
      </c>
      <c r="J37" s="63">
        <f t="shared" si="6"/>
        <v>35278.11007</v>
      </c>
      <c r="K37" s="63">
        <f t="shared" si="6"/>
        <v>23349.09474</v>
      </c>
      <c r="L37" s="63">
        <f t="shared" si="6"/>
        <v>28634.70908</v>
      </c>
      <c r="M37" s="63">
        <f t="shared" si="6"/>
        <v>34207.97896</v>
      </c>
      <c r="N37" s="63">
        <f t="shared" si="6"/>
        <v>368279.0671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2.0" customHeight="1">
      <c r="A38" s="89" t="s">
        <v>50</v>
      </c>
      <c r="B38" s="63">
        <f t="shared" ref="B38:N38" si="7">+B24-B37</f>
        <v>48358.08138</v>
      </c>
      <c r="C38" s="63">
        <f t="shared" si="7"/>
        <v>48874.28243</v>
      </c>
      <c r="D38" s="63">
        <f t="shared" si="7"/>
        <v>37785.16557</v>
      </c>
      <c r="E38" s="63">
        <f t="shared" si="7"/>
        <v>48485.29499</v>
      </c>
      <c r="F38" s="63">
        <f t="shared" si="7"/>
        <v>53783.33989</v>
      </c>
      <c r="G38" s="63">
        <f t="shared" si="7"/>
        <v>40470.09593</v>
      </c>
      <c r="H38" s="63">
        <f t="shared" si="7"/>
        <v>48209.97157</v>
      </c>
      <c r="I38" s="63">
        <f t="shared" si="7"/>
        <v>44969.62926</v>
      </c>
      <c r="J38" s="63">
        <f t="shared" si="7"/>
        <v>49502.72204</v>
      </c>
      <c r="K38" s="63">
        <f t="shared" si="7"/>
        <v>58565.95146</v>
      </c>
      <c r="L38" s="63">
        <f t="shared" si="7"/>
        <v>55493.11532</v>
      </c>
      <c r="M38" s="63">
        <f t="shared" si="7"/>
        <v>37994.24755</v>
      </c>
      <c r="N38" s="63">
        <f t="shared" si="7"/>
        <v>572491.8974</v>
      </c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2.0" customHeight="1">
      <c r="A39" s="92" t="s">
        <v>52</v>
      </c>
      <c r="N39" s="109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5.0" customHeight="1">
      <c r="A40" s="44" t="s">
        <v>53</v>
      </c>
      <c r="B40" s="45"/>
      <c r="C40" s="45"/>
      <c r="D40" s="45"/>
      <c r="E40" s="45"/>
      <c r="F40" s="45"/>
      <c r="G40" s="93"/>
      <c r="H40" s="93"/>
      <c r="I40" s="93"/>
      <c r="J40" s="93"/>
      <c r="K40" s="93"/>
      <c r="L40" s="93"/>
      <c r="M40" s="93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2.0" customHeight="1">
      <c r="A41" s="47" t="s">
        <v>54</v>
      </c>
      <c r="B41" s="45"/>
      <c r="C41" s="45"/>
      <c r="D41" s="45"/>
      <c r="E41" s="45"/>
      <c r="F41" s="45"/>
      <c r="G41" s="93"/>
      <c r="H41" s="93"/>
      <c r="I41" s="93"/>
      <c r="J41" s="93"/>
      <c r="K41" s="93"/>
      <c r="L41" s="93"/>
      <c r="M41" s="93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2.0" customHeight="1">
      <c r="A42" s="47" t="s">
        <v>55</v>
      </c>
      <c r="B42" s="45"/>
      <c r="C42" s="45"/>
      <c r="D42" s="45"/>
      <c r="E42" s="45"/>
      <c r="F42" s="45"/>
      <c r="G42" s="93"/>
      <c r="H42" s="93"/>
      <c r="I42" s="93"/>
      <c r="J42" s="93"/>
      <c r="K42" s="93"/>
      <c r="L42" s="93"/>
      <c r="M42" s="93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2.0" customHeight="1">
      <c r="A43" s="47" t="s">
        <v>56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2.0" customHeight="1">
      <c r="A44" s="47" t="s">
        <v>57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2.0" customHeight="1">
      <c r="A45" s="47" t="s">
        <v>58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2.0" customHeight="1">
      <c r="A46" s="47" t="s">
        <v>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2.0" customHeight="1">
      <c r="A47" s="47" t="s">
        <v>60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2.0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2.0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2.0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2.0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2.0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2.0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2.0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2.0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2.0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2.0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2.0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2.0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2.0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2.0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2.0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2.0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2.0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2.0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2.0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2.0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2.0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2.0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2.0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2.0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2.0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2.0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2.0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2.0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2.0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2.0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2.0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2.0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2.0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2.0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2.0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2.0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2.0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2.0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2.0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2.0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2.0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2.0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2.0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2.0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2.0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2.0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2.0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2.0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2.0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2.0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2.0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2.0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2.0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2.0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2.0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2.0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2.0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2.0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2.0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2.0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2.0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2.0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2.0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2.0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2.0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2.0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2.0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2.0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2.0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2.0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2.0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2.0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2.0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2.0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2.0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2.0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2.0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2.0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2.0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2.0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2.0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2.0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2.0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2.0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2.0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2.0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2.0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2.0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2.0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2.0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2.0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2.0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2.0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2.0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2.0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2.0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2.0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2.0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2.0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2.0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2.0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2.0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2.0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2.0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2.0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2.0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2.0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2.0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2.0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2.0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2.0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2.0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2.0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2.0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2.0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2.0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2.0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2.0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2.0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2.0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2.0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2.0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2.0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2.0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2.0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2.0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2.0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2.0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2.0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2.0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2.0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2.0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2.0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2.0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2.0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2.0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2.0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2.0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2.0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2.0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2.0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2.0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2.0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2.0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2.0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2.0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2.0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2.0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2.0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2.0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2.0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2.0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2.0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2.0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2.0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2.0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2.0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2.0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2.0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2.0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2.0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2.0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2.0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2.0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2.0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2.0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2.0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2.0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2.0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2.0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2.0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2.0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2.0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2.0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2.0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2.0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2.0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2.0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2.0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2.0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2.0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2.0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2.0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2.0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2.0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2.0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2.0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2.0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2.0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2.0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2.0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2.0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2.0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2.0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2.0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2.0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2.0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2.0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2.0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2.0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2.0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2.0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2.0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2.0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2.0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2.0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2.0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2.0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2.0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2.0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2.0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2.0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2.0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2.0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2.0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2.0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2.0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2.0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2.0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2.0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2.0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2.0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2.0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2.0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2.0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2.0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2.0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2.0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2.0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2.0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2.0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2.0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2.0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2.0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2.0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2.0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2.0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2.0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2.0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2.0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2.0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2.0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2.0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2.0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2.0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2.0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2.0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2.0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2.0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2.0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2.0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2.0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2.0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2.0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2.0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2.0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2.0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2.0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2.0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2.0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2.0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2.0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2.0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2.0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2.0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2.0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2.0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2.0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2.0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2.0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2.0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2.0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2.0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2.0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2.0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2.0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2.0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2.0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2.0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2.0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2.0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2.0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2.0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2.0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2.0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2.0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2.0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2.0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2.0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2.0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2.0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2.0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2.0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2.0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2.0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2.0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2.0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2.0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2.0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2.0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2.0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2.0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2.0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2.0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2.0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2.0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2.0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2.0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2.0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2.0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2.0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2.0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2.0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2.0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2.0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2.0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2.0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2.0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2.0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2.0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2.0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2.0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2.0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2.0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2.0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2.0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2.0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2.0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2.0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2.0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2.0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2.0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2.0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2.0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2.0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2.0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2.0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2.0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2.0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2.0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2.0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2.0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2.0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2.0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2.0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2.0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2.0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2.0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2.0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2.0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2.0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2.0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2.0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2.0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2.0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2.0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2.0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2.0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2.0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2.0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2.0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2.0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2.0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2.0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2.0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2.0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2.0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2.0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2.0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2.0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2.0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2.0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2.0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2.0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2.0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2.0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2.0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2.0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2.0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2.0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2.0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2.0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2.0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2.0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2.0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2.0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2.0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2.0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2.0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2.0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2.0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2.0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2.0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2.0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2.0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2.0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2.0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2.0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2.0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2.0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2.0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2.0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2.0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2.0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2.0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2.0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2.0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2.0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2.0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2.0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2.0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2.0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2.0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2.0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2.0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2.0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2.0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2.0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2.0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2.0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2.0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2.0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2.0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2.0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2.0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2.0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2.0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2.0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2.0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2.0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2.0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2.0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2.0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2.0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2.0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2.0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2.0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2.0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2.0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2.0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2.0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2.0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2.0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2.0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2.0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2.0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2.0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2.0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2.0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2.0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2.0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2.0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2.0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2.0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2.0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2.0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2.0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2.0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2.0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2.0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2.0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2.0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2.0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2.0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2.0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2.0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2.0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2.0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2.0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2.0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2.0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2.0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2.0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2.0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2.0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2.0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2.0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2.0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2.0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2.0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2.0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2.0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2.0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2.0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2.0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2.0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2.0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2.0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2.0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2.0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2.0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2.0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2.0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2.0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2.0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2.0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2.0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2.0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2.0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2.0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2.0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2.0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2.0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2.0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2.0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2.0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2.0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2.0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2.0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2.0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2.0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2.0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2.0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2.0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2.0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2.0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2.0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2.0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2.0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2.0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2.0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2.0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2.0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2.0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2.0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2.0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2.0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2.0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2.0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2.0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2.0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2.0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2.0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2.0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2.0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2.0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2.0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2.0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2.0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2.0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2.0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2.0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2.0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2.0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2.0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2.0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2.0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2.0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2.0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2.0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2.0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2.0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2.0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2.0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2.0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2.0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2.0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2.0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2.0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2.0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2.0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2.0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2.0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2.0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2.0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2.0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2.0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2.0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2.0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2.0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2.0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2.0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2.0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2.0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2.0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2.0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2.0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2.0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2.0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2.0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2.0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2.0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2.0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2.0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2.0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2.0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2.0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2.0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2.0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2.0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2.0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2.0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2.0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2.0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2.0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2.0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2.0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2.0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2.0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2.0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2.0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2.0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2.0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2.0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2.0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2.0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2.0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2.0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2.0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2.0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2.0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2.0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2.0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2.0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2.0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2.0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2.0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2.0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2.0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2.0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2.0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2.0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2.0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2.0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2.0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2.0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2.0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2.0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2.0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2.0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2.0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2.0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2.0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2.0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2.0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2.0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2.0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2.0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2.0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2.0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2.0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2.0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2.0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2.0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2.0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2.0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2.0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2.0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2.0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2.0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2.0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2.0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2.0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2.0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2.0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2.0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2.0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2.0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2.0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2.0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2.0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2.0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2.0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2.0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2.0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2.0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2.0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2.0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2.0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2.0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2.0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2.0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2.0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2.0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2.0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2.0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2.0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2.0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2.0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2.0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2.0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2.0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2.0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2.0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2.0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2.0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2.0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2.0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2.0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2.0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2.0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2.0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2.0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2.0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2.0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2.0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2.0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2.0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2.0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2.0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2.0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2.0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2.0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2.0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2.0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2.0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2.0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2.0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2.0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2.0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2.0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2.0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2.0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2.0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2.0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2.0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2.0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2.0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2.0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2.0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2.0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2.0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2.0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2.0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2.0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2.0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2.0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2.0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2.0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2.0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2.0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2.0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2.0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2.0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2.0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2.0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2.0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2.0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2.0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2.0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2.0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2.0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2.0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2.0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2.0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2.0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2.0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2.0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2.0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2.0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2.0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2.0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2.0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2.0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2.0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2.0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2.0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2.0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2.0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2.0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2.0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2.0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2.0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2.0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2.0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2.0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2.0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2.0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2.0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2.0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2.0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2.0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2.0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2.0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2.0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2.0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2.0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2.0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2.0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2.0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2.0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2.0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2.0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2.0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2.0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2.0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2.0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2.0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2.0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2.0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2.0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2.0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2.0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2.0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2.0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2.0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2.0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2.0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2.0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2.0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2.0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2.0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2.0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2.0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2.0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2.0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2.0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2.0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2.0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2.0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2.0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2.0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2.0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2.0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2.0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2.0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2.0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2.0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2.0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2.0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2.0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2.0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2.0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2.0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2.0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2.0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2.0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2.0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2.0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2.0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2.0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2.0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2.0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2.0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2.0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2.0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2.0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2.0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2.0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2.0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2.0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2.0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2.0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2.0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2.0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2.0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2.0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2.0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2.0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2.0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2.0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2.0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2.0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2.0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2.0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2.0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2.0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2.0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2.0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2.0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2.0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2.0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2.0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2.0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2.0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2.0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2.0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2.0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2.0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2.0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2.0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2.0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2.0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2.0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2.0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2.0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2.0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2.0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2.0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2.0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2.0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2.0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2.0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2.0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2.0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2.0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2.0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2.0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2.0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2.0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2.0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2.0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2.0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2.0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2.0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2.0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2.0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2.0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2.0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2.0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2.0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2.0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2.0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2.0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2.0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2.0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2.0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2.0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2.0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2.0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2.0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2.0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2.0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2.0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2.0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2.0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2.0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2.0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2.0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2.0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2.0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2.0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2.0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2.0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2.0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2.0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2.0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2.0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2.0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2.0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2.0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2.0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2.0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2.0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2.0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2.0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2.0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2.0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2.0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2.0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2.0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2.0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2.0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2.0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2.0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2.0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2.0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2.0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2.0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2.0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2.0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2.0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2.0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3">
    <mergeCell ref="A7:N7"/>
    <mergeCell ref="A8:N8"/>
    <mergeCell ref="A39:M39"/>
  </mergeCells>
  <printOptions/>
  <pageMargins bottom="0.75" footer="0.0" header="0.0" left="0.45" right="0.45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14"/>
    <col customWidth="1" min="2" max="6" width="14.71"/>
    <col customWidth="1" min="7" max="7" width="18.71"/>
    <col customWidth="1" min="8" max="8" width="14.71"/>
    <col customWidth="1" min="9" max="9" width="17.71"/>
    <col customWidth="1" min="10" max="14" width="14.71"/>
    <col customWidth="1" min="15" max="26" width="8.71"/>
  </cols>
  <sheetData>
    <row r="1" ht="12.0" customHeight="1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2.0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2.0" customHeight="1">
      <c r="A3" s="4"/>
      <c r="B3" s="51"/>
      <c r="C3" s="51"/>
      <c r="D3" s="51"/>
      <c r="E3" s="3" t="s">
        <v>0</v>
      </c>
      <c r="F3" s="51"/>
      <c r="G3" s="51"/>
      <c r="H3" s="51"/>
      <c r="I3" s="51"/>
      <c r="J3" s="51"/>
      <c r="K3" s="51"/>
      <c r="L3" s="51"/>
      <c r="M3" s="51"/>
      <c r="N3" s="51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2.0" customHeight="1">
      <c r="A4" s="4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22.5" customHeight="1">
      <c r="A5" s="4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2.0" customHeight="1">
      <c r="A6" s="94" t="s">
        <v>19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ht="12.0" customHeight="1">
      <c r="A7" s="8" t="s">
        <v>2</v>
      </c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12.0" customHeight="1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22.5" customHeight="1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12.0" customHeight="1">
      <c r="A10" s="83" t="s">
        <v>101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2.0" customHeight="1">
      <c r="A11" s="108" t="s">
        <v>75</v>
      </c>
      <c r="B11" s="31">
        <v>68136.59341412263</v>
      </c>
      <c r="C11" s="31">
        <v>67715.90623482721</v>
      </c>
      <c r="D11" s="31">
        <v>58525.20387894247</v>
      </c>
      <c r="E11" s="31">
        <v>58144.21270284601</v>
      </c>
      <c r="F11" s="31">
        <v>64623.48382581666</v>
      </c>
      <c r="G11" s="31">
        <v>66273.27257323879</v>
      </c>
      <c r="H11" s="31">
        <v>70246.43461659136</v>
      </c>
      <c r="I11" s="31">
        <v>65621.18415871324</v>
      </c>
      <c r="J11" s="31">
        <v>66755.92041219596</v>
      </c>
      <c r="K11" s="31">
        <v>77673.89476928292</v>
      </c>
      <c r="L11" s="31">
        <v>58465.21609636785</v>
      </c>
      <c r="M11" s="31">
        <v>62470.956680551724</v>
      </c>
      <c r="N11" s="25">
        <f>SUM(B11:M11)</f>
        <v>784652.2794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2.0" customHeight="1">
      <c r="A12" s="22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2.0" customHeight="1">
      <c r="A13" s="33" t="s">
        <v>31</v>
      </c>
      <c r="B13" s="31">
        <v>3581.50300906</v>
      </c>
      <c r="C13" s="31">
        <v>3062.9691056449997</v>
      </c>
      <c r="D13" s="31">
        <v>1977.941490566</v>
      </c>
      <c r="E13" s="31">
        <v>1943.4975123819997</v>
      </c>
      <c r="F13" s="31">
        <v>2321.800171038</v>
      </c>
      <c r="G13" s="31">
        <v>3111.76889324</v>
      </c>
      <c r="H13" s="31">
        <v>2797.996154956</v>
      </c>
      <c r="I13" s="31">
        <v>2883.4605103633917</v>
      </c>
      <c r="J13" s="31">
        <v>2912.3666822978175</v>
      </c>
      <c r="K13" s="31">
        <v>2385.3344856559997</v>
      </c>
      <c r="L13" s="31">
        <v>1975.80222555287</v>
      </c>
      <c r="M13" s="31">
        <v>2719.7481546885</v>
      </c>
      <c r="N13" s="25">
        <f t="shared" ref="N13:N22" si="1">SUM(B13:M13)</f>
        <v>31674.1884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2.0" customHeight="1">
      <c r="A14" s="33" t="s">
        <v>32</v>
      </c>
      <c r="B14" s="31">
        <v>0.0</v>
      </c>
      <c r="C14" s="31">
        <v>0.0</v>
      </c>
      <c r="D14" s="31">
        <v>0.0</v>
      </c>
      <c r="E14" s="31">
        <v>326.310992901939</v>
      </c>
      <c r="F14" s="31">
        <v>564.2</v>
      </c>
      <c r="G14" s="31">
        <v>0.0</v>
      </c>
      <c r="H14" s="31">
        <v>0.0</v>
      </c>
      <c r="I14" s="31">
        <v>0.0</v>
      </c>
      <c r="J14" s="31">
        <v>0.0</v>
      </c>
      <c r="K14" s="31">
        <v>0.0</v>
      </c>
      <c r="L14" s="31">
        <v>0.0</v>
      </c>
      <c r="M14" s="31">
        <v>0.0</v>
      </c>
      <c r="N14" s="25">
        <f t="shared" si="1"/>
        <v>890.5109929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2.0" customHeight="1">
      <c r="A15" s="33" t="s">
        <v>33</v>
      </c>
      <c r="B15" s="31">
        <v>787.6158465000001</v>
      </c>
      <c r="C15" s="31">
        <v>975.4733385</v>
      </c>
      <c r="D15" s="31">
        <v>919.3356086</v>
      </c>
      <c r="E15" s="31">
        <v>831.6469138</v>
      </c>
      <c r="F15" s="31">
        <v>943.6930133</v>
      </c>
      <c r="G15" s="31">
        <v>1028.5204012</v>
      </c>
      <c r="H15" s="31">
        <v>457.5787964</v>
      </c>
      <c r="I15" s="31">
        <v>1124.919157</v>
      </c>
      <c r="J15" s="31">
        <v>594.9062434</v>
      </c>
      <c r="K15" s="31">
        <v>500.2751095</v>
      </c>
      <c r="L15" s="31">
        <v>668.3931572700001</v>
      </c>
      <c r="M15" s="31">
        <v>439.7556743</v>
      </c>
      <c r="N15" s="25">
        <f t="shared" si="1"/>
        <v>9272.11326</v>
      </c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2.0" customHeight="1">
      <c r="A16" s="33" t="s">
        <v>34</v>
      </c>
      <c r="B16" s="31">
        <v>0.0</v>
      </c>
      <c r="C16" s="31">
        <v>0.0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25">
        <f t="shared" si="1"/>
        <v>0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2.0" customHeight="1">
      <c r="A17" s="33" t="s">
        <v>35</v>
      </c>
      <c r="B17" s="31">
        <v>0.0</v>
      </c>
      <c r="C17" s="31">
        <v>0.0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25">
        <f t="shared" si="1"/>
        <v>0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2.0" customHeight="1">
      <c r="A18" s="33" t="s">
        <v>36</v>
      </c>
      <c r="B18" s="31">
        <v>715.2465315</v>
      </c>
      <c r="C18" s="31">
        <v>567.4807898</v>
      </c>
      <c r="D18" s="31">
        <v>290.60645420000003</v>
      </c>
      <c r="E18" s="31">
        <v>677.567666</v>
      </c>
      <c r="F18" s="31">
        <v>361.8920749</v>
      </c>
      <c r="G18" s="31">
        <v>9.6880145</v>
      </c>
      <c r="H18" s="31">
        <v>6.734176</v>
      </c>
      <c r="I18" s="31">
        <v>10.622537</v>
      </c>
      <c r="J18" s="31">
        <v>38.8915187</v>
      </c>
      <c r="K18" s="31">
        <v>43.5730099</v>
      </c>
      <c r="L18" s="31">
        <v>22.1330953</v>
      </c>
      <c r="M18" s="31">
        <v>26.511373</v>
      </c>
      <c r="N18" s="25">
        <f t="shared" si="1"/>
        <v>2770.947241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2.0" customHeight="1">
      <c r="A19" s="33" t="s">
        <v>37</v>
      </c>
      <c r="B19" s="31">
        <v>799.5155833</v>
      </c>
      <c r="C19" s="31">
        <v>1077.6532862</v>
      </c>
      <c r="D19" s="31">
        <v>962.0260828</v>
      </c>
      <c r="E19" s="31">
        <v>792.291614</v>
      </c>
      <c r="F19" s="31">
        <v>1436.8892199</v>
      </c>
      <c r="G19" s="31">
        <v>959.617029</v>
      </c>
      <c r="H19" s="31">
        <v>800.4909577</v>
      </c>
      <c r="I19" s="31">
        <v>1334.5737497</v>
      </c>
      <c r="J19" s="31">
        <v>598.623027</v>
      </c>
      <c r="K19" s="31">
        <v>872.1082306</v>
      </c>
      <c r="L19" s="31">
        <v>855.5733917</v>
      </c>
      <c r="M19" s="31">
        <v>849.8905629</v>
      </c>
      <c r="N19" s="25">
        <f t="shared" si="1"/>
        <v>11339.25273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2.0" customHeight="1">
      <c r="A20" s="33" t="s">
        <v>38</v>
      </c>
      <c r="B20" s="31">
        <v>544.5550778209999</v>
      </c>
      <c r="C20" s="31">
        <v>247.0521795</v>
      </c>
      <c r="D20" s="31">
        <v>194.86306059999998</v>
      </c>
      <c r="E20" s="31">
        <v>326.5209151</v>
      </c>
      <c r="F20" s="31">
        <v>218.8191927</v>
      </c>
      <c r="G20" s="31">
        <v>390.17157105888003</v>
      </c>
      <c r="H20" s="31">
        <v>257.4179156</v>
      </c>
      <c r="I20" s="31">
        <v>358.1614346</v>
      </c>
      <c r="J20" s="31">
        <v>314.2064118</v>
      </c>
      <c r="K20" s="31">
        <v>464.30239009999997</v>
      </c>
      <c r="L20" s="31">
        <v>548.995498094</v>
      </c>
      <c r="M20" s="31">
        <v>352.66433440000003</v>
      </c>
      <c r="N20" s="25">
        <f t="shared" si="1"/>
        <v>4217.729981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33" t="s">
        <v>39</v>
      </c>
      <c r="B21" s="31">
        <v>16.7245847</v>
      </c>
      <c r="C21" s="31">
        <v>37.5389495</v>
      </c>
      <c r="D21" s="31">
        <v>8.045354</v>
      </c>
      <c r="E21" s="31">
        <v>9.6971748</v>
      </c>
      <c r="F21" s="31">
        <v>1.4806764</v>
      </c>
      <c r="G21" s="31">
        <v>6.4393036</v>
      </c>
      <c r="H21" s="31">
        <v>23.4238809</v>
      </c>
      <c r="I21" s="31">
        <v>34.7031888</v>
      </c>
      <c r="J21" s="31">
        <v>20.3513101</v>
      </c>
      <c r="K21" s="31">
        <v>10.9817524</v>
      </c>
      <c r="L21" s="31">
        <v>43.2830348</v>
      </c>
      <c r="M21" s="31">
        <v>59.4475034</v>
      </c>
      <c r="N21" s="25">
        <f t="shared" si="1"/>
        <v>272.1167134</v>
      </c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2.0" customHeight="1">
      <c r="A22" s="33" t="s">
        <v>112</v>
      </c>
      <c r="B22" s="31">
        <v>571.3451634000003</v>
      </c>
      <c r="C22" s="31">
        <v>729.6228176000004</v>
      </c>
      <c r="D22" s="31">
        <v>652.7418968000011</v>
      </c>
      <c r="E22" s="31">
        <v>651.1296221000002</v>
      </c>
      <c r="F22" s="31">
        <v>865.927322399999</v>
      </c>
      <c r="G22" s="31">
        <v>593.9430748000013</v>
      </c>
      <c r="H22" s="31">
        <v>615.9210942000009</v>
      </c>
      <c r="I22" s="31">
        <v>827.6094370000001</v>
      </c>
      <c r="J22" s="31">
        <v>642.5962384000004</v>
      </c>
      <c r="K22" s="31">
        <v>777.9066227000012</v>
      </c>
      <c r="L22" s="31">
        <v>601.8413332</v>
      </c>
      <c r="M22" s="31">
        <v>884.6114581000002</v>
      </c>
      <c r="N22" s="25">
        <f t="shared" si="1"/>
        <v>8415.196081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2.0" customHeight="1">
      <c r="A23" s="88" t="s">
        <v>103</v>
      </c>
      <c r="B23" s="63">
        <f t="shared" ref="B23:N23" si="2">SUM(B13:B22)</f>
        <v>7016.505796</v>
      </c>
      <c r="C23" s="63">
        <f t="shared" si="2"/>
        <v>6697.790467</v>
      </c>
      <c r="D23" s="63">
        <f t="shared" si="2"/>
        <v>5005.559948</v>
      </c>
      <c r="E23" s="63">
        <f t="shared" si="2"/>
        <v>5558.662411</v>
      </c>
      <c r="F23" s="63">
        <f t="shared" si="2"/>
        <v>6714.701671</v>
      </c>
      <c r="G23" s="63">
        <f t="shared" si="2"/>
        <v>6100.148287</v>
      </c>
      <c r="H23" s="63">
        <f t="shared" si="2"/>
        <v>4959.562976</v>
      </c>
      <c r="I23" s="63">
        <f t="shared" si="2"/>
        <v>6574.050014</v>
      </c>
      <c r="J23" s="63">
        <f t="shared" si="2"/>
        <v>5121.941432</v>
      </c>
      <c r="K23" s="63">
        <f t="shared" si="2"/>
        <v>5054.481601</v>
      </c>
      <c r="L23" s="63">
        <f t="shared" si="2"/>
        <v>4716.021736</v>
      </c>
      <c r="M23" s="63">
        <f t="shared" si="2"/>
        <v>5332.629061</v>
      </c>
      <c r="N23" s="63">
        <f t="shared" si="2"/>
        <v>68852.0554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2.0" customHeight="1">
      <c r="A24" s="89" t="s">
        <v>80</v>
      </c>
      <c r="B24" s="63">
        <f t="shared" ref="B24:F24" si="3">+B23+B11</f>
        <v>75153.09921</v>
      </c>
      <c r="C24" s="63">
        <f t="shared" si="3"/>
        <v>74413.6967</v>
      </c>
      <c r="D24" s="63">
        <f t="shared" si="3"/>
        <v>63530.76383</v>
      </c>
      <c r="E24" s="63">
        <f t="shared" si="3"/>
        <v>63702.87511</v>
      </c>
      <c r="F24" s="63">
        <f t="shared" si="3"/>
        <v>71338.1855</v>
      </c>
      <c r="G24" s="63">
        <f t="shared" ref="G24:N24" si="4">+G11+G23</f>
        <v>72373.42086</v>
      </c>
      <c r="H24" s="63">
        <f t="shared" si="4"/>
        <v>75205.99759</v>
      </c>
      <c r="I24" s="63">
        <f t="shared" si="4"/>
        <v>72195.23417</v>
      </c>
      <c r="J24" s="63">
        <f t="shared" si="4"/>
        <v>71877.86184</v>
      </c>
      <c r="K24" s="63">
        <f t="shared" si="4"/>
        <v>82728.37637</v>
      </c>
      <c r="L24" s="63">
        <f t="shared" si="4"/>
        <v>63181.23783</v>
      </c>
      <c r="M24" s="63">
        <f t="shared" si="4"/>
        <v>67803.58574</v>
      </c>
      <c r="N24" s="63">
        <f t="shared" si="4"/>
        <v>853504.3348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2.0" customHeight="1">
      <c r="A25" s="87" t="s">
        <v>104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5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2.0" customHeight="1">
      <c r="A26" s="33" t="s">
        <v>31</v>
      </c>
      <c r="B26" s="31">
        <v>130.683</v>
      </c>
      <c r="C26" s="31">
        <v>114.431</v>
      </c>
      <c r="D26" s="31">
        <v>81.603</v>
      </c>
      <c r="E26" s="31">
        <v>103.026</v>
      </c>
      <c r="F26" s="31">
        <v>62.274</v>
      </c>
      <c r="G26" s="31">
        <v>85.802</v>
      </c>
      <c r="H26" s="31">
        <v>117.671</v>
      </c>
      <c r="I26" s="31">
        <v>120.205</v>
      </c>
      <c r="J26" s="31">
        <v>131.266</v>
      </c>
      <c r="K26" s="31">
        <v>128.739</v>
      </c>
      <c r="L26" s="31">
        <v>105.45</v>
      </c>
      <c r="M26" s="31">
        <v>112.88</v>
      </c>
      <c r="N26" s="25">
        <f t="shared" ref="N26:N36" si="5">SUM(B26:M26)</f>
        <v>1294.03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2.0" customHeight="1">
      <c r="A27" s="33" t="s">
        <v>81</v>
      </c>
      <c r="B27" s="31">
        <v>7366.804137521033</v>
      </c>
      <c r="C27" s="31">
        <v>7487.611236807068</v>
      </c>
      <c r="D27" s="31">
        <v>7381.16522731604</v>
      </c>
      <c r="E27" s="31">
        <v>7222.232428104</v>
      </c>
      <c r="F27" s="31">
        <v>8404.810722441689</v>
      </c>
      <c r="G27" s="31">
        <v>8992.596206679389</v>
      </c>
      <c r="H27" s="31">
        <v>8532.510769046525</v>
      </c>
      <c r="I27" s="31">
        <v>7277.960899219497</v>
      </c>
      <c r="J27" s="31">
        <v>7941.089883185277</v>
      </c>
      <c r="K27" s="31">
        <v>8265.708934653285</v>
      </c>
      <c r="L27" s="31">
        <v>6677.323104012</v>
      </c>
      <c r="M27" s="31">
        <v>9796.100284769343</v>
      </c>
      <c r="N27" s="25">
        <f t="shared" si="5"/>
        <v>95345.91383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33" t="s">
        <v>33</v>
      </c>
      <c r="B28" s="31">
        <v>3512.224446297954</v>
      </c>
      <c r="C28" s="31">
        <v>3243.9339964526635</v>
      </c>
      <c r="D28" s="31">
        <v>2907.9666529225583</v>
      </c>
      <c r="E28" s="31">
        <v>3062.352959476396</v>
      </c>
      <c r="F28" s="31">
        <v>3851.5335859855495</v>
      </c>
      <c r="G28" s="31">
        <v>2767.2213091795848</v>
      </c>
      <c r="H28" s="31">
        <v>4114.284021733058</v>
      </c>
      <c r="I28" s="31">
        <v>4696.904049207522</v>
      </c>
      <c r="J28" s="31">
        <v>4386.432882110631</v>
      </c>
      <c r="K28" s="31">
        <v>3805.504806407845</v>
      </c>
      <c r="L28" s="31">
        <v>3564.033152006033</v>
      </c>
      <c r="M28" s="31">
        <v>3620.6942364039114</v>
      </c>
      <c r="N28" s="25">
        <f t="shared" si="5"/>
        <v>43533.0861</v>
      </c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2.0" customHeight="1">
      <c r="A29" s="90" t="s">
        <v>83</v>
      </c>
      <c r="B29" s="31">
        <v>1624.91692118</v>
      </c>
      <c r="C29" s="31">
        <v>1752.143103179</v>
      </c>
      <c r="D29" s="31">
        <v>1206.5639999999999</v>
      </c>
      <c r="E29" s="31">
        <v>1365.991</v>
      </c>
      <c r="F29" s="31">
        <v>1430.338</v>
      </c>
      <c r="G29" s="31">
        <v>2212.022</v>
      </c>
      <c r="H29" s="31">
        <v>2487.124</v>
      </c>
      <c r="I29" s="31">
        <v>3367.103</v>
      </c>
      <c r="J29" s="31">
        <v>2620.389</v>
      </c>
      <c r="K29" s="31">
        <v>2322.5299999999997</v>
      </c>
      <c r="L29" s="31">
        <v>2316.65</v>
      </c>
      <c r="M29" s="31">
        <v>2517.019</v>
      </c>
      <c r="N29" s="25">
        <f t="shared" si="5"/>
        <v>25222.79002</v>
      </c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2.0" customHeight="1">
      <c r="A30" s="90" t="s">
        <v>35</v>
      </c>
      <c r="B30" s="31">
        <v>12.117</v>
      </c>
      <c r="C30" s="31">
        <v>15.977</v>
      </c>
      <c r="D30" s="31">
        <v>15.782</v>
      </c>
      <c r="E30" s="31">
        <v>14.991</v>
      </c>
      <c r="F30" s="31">
        <v>10.12</v>
      </c>
      <c r="G30" s="31">
        <v>10.842</v>
      </c>
      <c r="H30" s="31">
        <v>10.474</v>
      </c>
      <c r="I30" s="31">
        <v>6.734</v>
      </c>
      <c r="J30" s="31">
        <v>9.923</v>
      </c>
      <c r="K30" s="31">
        <v>14.709</v>
      </c>
      <c r="L30" s="31">
        <v>11.0</v>
      </c>
      <c r="M30" s="31">
        <v>7.178</v>
      </c>
      <c r="N30" s="25">
        <f t="shared" si="5"/>
        <v>139.847</v>
      </c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2.0" customHeight="1">
      <c r="A31" s="90" t="s">
        <v>36</v>
      </c>
      <c r="B31" s="31">
        <v>6967.3650401859995</v>
      </c>
      <c r="C31" s="31">
        <v>8222.383398155</v>
      </c>
      <c r="D31" s="31">
        <v>8075.488</v>
      </c>
      <c r="E31" s="31">
        <v>7967.796498196</v>
      </c>
      <c r="F31" s="31">
        <v>8497.265</v>
      </c>
      <c r="G31" s="31">
        <v>9795.93</v>
      </c>
      <c r="H31" s="31">
        <v>13654.90444932281</v>
      </c>
      <c r="I31" s="31">
        <v>10273.728377228506</v>
      </c>
      <c r="J31" s="31">
        <v>12978.97180904086</v>
      </c>
      <c r="K31" s="31">
        <v>9938.180868413</v>
      </c>
      <c r="L31" s="31">
        <v>8112.78</v>
      </c>
      <c r="M31" s="31">
        <v>11069.01370354392</v>
      </c>
      <c r="N31" s="25">
        <f t="shared" si="5"/>
        <v>115553.8071</v>
      </c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2.0" customHeight="1">
      <c r="A32" s="90" t="s">
        <v>46</v>
      </c>
      <c r="B32" s="31">
        <v>40.41</v>
      </c>
      <c r="C32" s="31">
        <v>0.0</v>
      </c>
      <c r="D32" s="31">
        <v>0.0</v>
      </c>
      <c r="E32" s="31">
        <v>0.0</v>
      </c>
      <c r="F32" s="31">
        <v>0.0</v>
      </c>
      <c r="G32" s="31">
        <v>0.0</v>
      </c>
      <c r="H32" s="31">
        <v>0.0</v>
      </c>
      <c r="I32" s="31">
        <v>0.0</v>
      </c>
      <c r="J32" s="31">
        <v>0.0</v>
      </c>
      <c r="K32" s="31">
        <v>0.761</v>
      </c>
      <c r="L32" s="31">
        <v>0.48</v>
      </c>
      <c r="M32" s="31">
        <v>0.0</v>
      </c>
      <c r="N32" s="25">
        <f t="shared" si="5"/>
        <v>41.651</v>
      </c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2.0" customHeight="1">
      <c r="A33" s="90" t="s">
        <v>47</v>
      </c>
      <c r="B33" s="31">
        <v>54.036035415</v>
      </c>
      <c r="C33" s="31">
        <v>97.241011895</v>
      </c>
      <c r="D33" s="31">
        <v>11.223463751999999</v>
      </c>
      <c r="E33" s="31">
        <v>56.937171511</v>
      </c>
      <c r="F33" s="31">
        <v>36.69</v>
      </c>
      <c r="G33" s="31">
        <v>43.08</v>
      </c>
      <c r="H33" s="31">
        <v>2.72</v>
      </c>
      <c r="I33" s="31">
        <v>29.38</v>
      </c>
      <c r="J33" s="31">
        <v>9.7439501</v>
      </c>
      <c r="K33" s="31">
        <v>11.229735900000001</v>
      </c>
      <c r="L33" s="31">
        <v>7.0147022</v>
      </c>
      <c r="M33" s="31">
        <v>22.158145100000002</v>
      </c>
      <c r="N33" s="25">
        <f t="shared" si="5"/>
        <v>381.4542159</v>
      </c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2.0" customHeight="1">
      <c r="A34" s="90" t="s">
        <v>38</v>
      </c>
      <c r="B34" s="31">
        <v>1826.8558910320735</v>
      </c>
      <c r="C34" s="31">
        <v>1226.2122948685926</v>
      </c>
      <c r="D34" s="31">
        <v>1261.631665988</v>
      </c>
      <c r="E34" s="31">
        <v>1724.820026808</v>
      </c>
      <c r="F34" s="31">
        <v>1797.838367505</v>
      </c>
      <c r="G34" s="31">
        <v>2500.9927335951197</v>
      </c>
      <c r="H34" s="31">
        <v>2145.4504614019997</v>
      </c>
      <c r="I34" s="31">
        <v>1563.88</v>
      </c>
      <c r="J34" s="31">
        <v>1430.1599999999999</v>
      </c>
      <c r="K34" s="31">
        <v>1808.19378138</v>
      </c>
      <c r="L34" s="31">
        <v>1400.3904558579752</v>
      </c>
      <c r="M34" s="31">
        <v>1729.051086</v>
      </c>
      <c r="N34" s="25">
        <f t="shared" si="5"/>
        <v>20415.47676</v>
      </c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2.0" customHeight="1">
      <c r="A35" s="90" t="s">
        <v>39</v>
      </c>
      <c r="B35" s="31">
        <v>11.7335894</v>
      </c>
      <c r="C35" s="31">
        <v>21.5487928</v>
      </c>
      <c r="D35" s="31">
        <v>1.28</v>
      </c>
      <c r="E35" s="31">
        <v>18.6323423</v>
      </c>
      <c r="F35" s="31">
        <v>25.880000000000003</v>
      </c>
      <c r="G35" s="31">
        <v>22.29</v>
      </c>
      <c r="H35" s="31">
        <v>47.81</v>
      </c>
      <c r="I35" s="31">
        <v>32.46</v>
      </c>
      <c r="J35" s="31">
        <v>31.756876922</v>
      </c>
      <c r="K35" s="31">
        <v>27.701194700000002</v>
      </c>
      <c r="L35" s="31">
        <v>12.1832123</v>
      </c>
      <c r="M35" s="31">
        <v>27.9431565</v>
      </c>
      <c r="N35" s="25">
        <f t="shared" si="5"/>
        <v>281.2191649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2.0" customHeight="1">
      <c r="A36" s="31" t="s">
        <v>113</v>
      </c>
      <c r="B36" s="31">
        <v>818.3496962249956</v>
      </c>
      <c r="C36" s="31">
        <v>1188.1038639340004</v>
      </c>
      <c r="D36" s="31">
        <v>1340.0612782829994</v>
      </c>
      <c r="E36" s="31">
        <v>2264.1074761029995</v>
      </c>
      <c r="F36" s="31">
        <v>1092.6348923520018</v>
      </c>
      <c r="G36" s="31">
        <v>1738.2306309569976</v>
      </c>
      <c r="H36" s="31">
        <v>1434.584596233999</v>
      </c>
      <c r="I36" s="31">
        <v>1499.9875330809955</v>
      </c>
      <c r="J36" s="31">
        <v>1709.8524619029995</v>
      </c>
      <c r="K36" s="31">
        <v>1217.8099999999977</v>
      </c>
      <c r="L36" s="31">
        <v>1697.174970881999</v>
      </c>
      <c r="M36" s="31">
        <v>1879.4198901630007</v>
      </c>
      <c r="N36" s="25">
        <f t="shared" si="5"/>
        <v>17880.31729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2.0" customHeight="1">
      <c r="A37" s="89" t="s">
        <v>107</v>
      </c>
      <c r="B37" s="63">
        <f t="shared" ref="B37:N37" si="6">SUM(B26:B36)</f>
        <v>22365.49576</v>
      </c>
      <c r="C37" s="63">
        <f t="shared" si="6"/>
        <v>23369.5857</v>
      </c>
      <c r="D37" s="63">
        <f t="shared" si="6"/>
        <v>22282.76529</v>
      </c>
      <c r="E37" s="63">
        <f t="shared" si="6"/>
        <v>23800.8869</v>
      </c>
      <c r="F37" s="63">
        <f t="shared" si="6"/>
        <v>25209.38457</v>
      </c>
      <c r="G37" s="63">
        <f t="shared" si="6"/>
        <v>28169.00688</v>
      </c>
      <c r="H37" s="63">
        <f t="shared" si="6"/>
        <v>32547.5333</v>
      </c>
      <c r="I37" s="63">
        <f t="shared" si="6"/>
        <v>28868.34286</v>
      </c>
      <c r="J37" s="63">
        <f t="shared" si="6"/>
        <v>31249.58586</v>
      </c>
      <c r="K37" s="63">
        <f t="shared" si="6"/>
        <v>27541.06832</v>
      </c>
      <c r="L37" s="63">
        <f t="shared" si="6"/>
        <v>23904.4796</v>
      </c>
      <c r="M37" s="63">
        <f t="shared" si="6"/>
        <v>30781.4575</v>
      </c>
      <c r="N37" s="63">
        <f t="shared" si="6"/>
        <v>320089.5925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2.0" customHeight="1">
      <c r="A38" s="89" t="s">
        <v>50</v>
      </c>
      <c r="B38" s="63">
        <f t="shared" ref="B38:N38" si="7">+B24-B37</f>
        <v>52787.60345</v>
      </c>
      <c r="C38" s="63">
        <f t="shared" si="7"/>
        <v>51044.111</v>
      </c>
      <c r="D38" s="63">
        <f t="shared" si="7"/>
        <v>41247.99854</v>
      </c>
      <c r="E38" s="63">
        <f t="shared" si="7"/>
        <v>39901.98821</v>
      </c>
      <c r="F38" s="63">
        <f t="shared" si="7"/>
        <v>46128.80093</v>
      </c>
      <c r="G38" s="63">
        <f t="shared" si="7"/>
        <v>44204.41398</v>
      </c>
      <c r="H38" s="63">
        <f t="shared" si="7"/>
        <v>42658.46429</v>
      </c>
      <c r="I38" s="63">
        <f t="shared" si="7"/>
        <v>43326.89131</v>
      </c>
      <c r="J38" s="63">
        <f t="shared" si="7"/>
        <v>40628.27598</v>
      </c>
      <c r="K38" s="63">
        <f t="shared" si="7"/>
        <v>55187.30805</v>
      </c>
      <c r="L38" s="63">
        <f t="shared" si="7"/>
        <v>39276.75824</v>
      </c>
      <c r="M38" s="63">
        <f t="shared" si="7"/>
        <v>37022.12824</v>
      </c>
      <c r="N38" s="63">
        <f t="shared" si="7"/>
        <v>533414.7422</v>
      </c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5.0" customHeight="1">
      <c r="A39" s="92" t="s">
        <v>52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2.0" customHeight="1">
      <c r="A40" s="44" t="s">
        <v>53</v>
      </c>
      <c r="B40" s="45"/>
      <c r="C40" s="45"/>
      <c r="D40" s="45"/>
      <c r="E40" s="45"/>
      <c r="F40" s="45"/>
      <c r="G40" s="93"/>
      <c r="H40" s="93"/>
      <c r="I40" s="93"/>
      <c r="J40" s="93"/>
      <c r="K40" s="93"/>
      <c r="L40" s="93"/>
      <c r="M40" s="93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2.0" customHeight="1">
      <c r="A41" s="47" t="s">
        <v>54</v>
      </c>
      <c r="B41" s="45"/>
      <c r="C41" s="45"/>
      <c r="D41" s="45"/>
      <c r="E41" s="45"/>
      <c r="F41" s="45"/>
      <c r="G41" s="93"/>
      <c r="H41" s="93"/>
      <c r="I41" s="93"/>
      <c r="J41" s="93"/>
      <c r="K41" s="93"/>
      <c r="L41" s="93"/>
      <c r="M41" s="93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2.0" customHeight="1">
      <c r="A42" s="47" t="s">
        <v>55</v>
      </c>
      <c r="B42" s="45"/>
      <c r="C42" s="45"/>
      <c r="D42" s="45"/>
      <c r="E42" s="45"/>
      <c r="F42" s="45"/>
      <c r="G42" s="93"/>
      <c r="H42" s="93"/>
      <c r="I42" s="93"/>
      <c r="J42" s="93"/>
      <c r="K42" s="93"/>
      <c r="L42" s="93"/>
      <c r="M42" s="93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2.0" customHeight="1">
      <c r="A43" s="47" t="s">
        <v>56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2.0" customHeight="1">
      <c r="A44" s="47" t="s">
        <v>57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2.0" customHeight="1">
      <c r="A45" s="47" t="s">
        <v>58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2.0" customHeight="1">
      <c r="A46" s="47" t="s">
        <v>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2.0" customHeight="1">
      <c r="A47" s="47" t="s">
        <v>60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2.0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2.0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2.0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2.0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2.0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2.0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2.0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2.0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2.0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2.0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2.0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2.0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2.0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2.0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2.0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2.0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2.0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2.0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2.0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2.0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2.0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2.0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2.0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2.0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2.0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2.0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2.0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2.0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2.0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2.0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2.0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2.0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2.0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2.0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2.0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2.0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2.0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2.0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2.0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2.0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2.0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2.0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2.0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2.0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2.0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2.0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2.0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2.0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2.0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2.0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2.0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2.0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2.0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2.0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2.0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2.0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2.0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2.0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2.0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2.0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2.0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2.0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2.0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2.0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2.0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2.0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2.0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2.0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2.0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2.0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2.0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2.0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2.0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2.0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2.0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2.0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2.0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2.0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2.0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2.0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2.0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2.0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2.0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2.0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2.0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2.0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2.0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2.0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2.0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2.0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2.0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2.0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2.0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2.0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2.0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2.0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2.0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2.0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2.0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2.0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2.0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2.0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2.0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2.0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2.0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2.0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2.0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2.0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2.0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2.0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2.0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2.0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2.0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2.0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2.0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2.0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2.0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2.0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2.0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2.0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2.0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2.0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2.0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2.0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2.0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2.0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2.0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2.0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2.0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2.0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2.0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2.0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2.0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2.0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2.0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2.0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2.0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2.0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2.0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2.0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2.0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2.0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2.0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2.0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2.0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2.0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2.0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2.0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2.0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2.0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2.0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2.0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2.0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2.0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2.0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2.0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2.0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2.0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2.0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2.0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2.0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2.0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2.0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2.0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2.0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2.0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2.0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2.0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2.0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2.0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2.0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2.0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2.0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2.0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2.0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2.0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2.0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2.0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2.0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2.0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2.0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2.0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2.0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2.0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2.0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2.0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2.0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2.0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2.0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2.0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2.0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2.0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2.0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2.0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2.0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2.0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2.0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2.0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2.0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2.0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2.0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2.0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2.0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2.0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2.0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2.0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2.0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2.0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2.0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2.0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2.0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2.0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2.0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2.0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2.0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2.0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2.0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2.0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2.0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2.0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2.0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2.0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2.0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2.0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2.0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2.0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2.0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2.0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2.0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2.0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2.0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2.0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2.0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2.0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2.0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2.0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2.0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2.0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2.0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2.0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2.0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2.0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2.0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2.0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2.0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2.0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2.0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2.0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2.0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2.0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2.0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2.0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2.0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2.0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2.0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2.0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2.0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2.0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2.0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2.0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2.0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2.0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2.0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2.0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2.0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2.0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2.0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2.0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2.0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2.0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2.0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2.0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2.0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2.0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2.0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2.0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2.0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2.0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2.0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2.0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2.0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2.0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2.0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2.0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2.0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2.0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2.0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2.0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2.0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2.0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2.0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2.0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2.0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2.0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2.0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2.0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2.0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2.0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2.0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2.0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2.0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2.0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2.0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2.0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2.0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2.0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2.0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2.0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2.0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2.0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2.0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2.0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2.0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2.0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2.0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2.0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2.0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2.0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2.0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2.0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2.0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2.0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2.0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2.0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2.0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2.0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2.0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2.0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2.0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2.0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2.0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2.0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2.0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2.0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2.0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2.0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2.0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2.0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2.0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2.0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2.0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2.0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2.0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2.0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2.0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2.0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2.0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2.0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2.0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2.0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2.0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2.0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2.0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2.0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2.0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2.0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2.0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2.0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2.0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2.0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2.0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2.0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2.0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2.0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2.0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2.0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2.0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2.0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2.0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2.0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2.0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2.0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2.0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2.0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2.0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2.0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2.0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2.0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2.0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2.0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2.0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2.0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2.0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2.0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2.0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2.0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2.0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2.0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2.0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2.0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2.0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2.0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2.0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2.0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2.0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2.0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2.0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2.0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2.0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2.0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2.0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2.0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2.0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2.0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2.0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2.0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2.0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2.0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2.0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2.0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2.0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2.0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2.0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2.0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2.0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2.0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2.0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2.0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2.0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2.0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2.0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2.0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2.0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2.0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2.0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2.0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2.0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2.0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2.0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2.0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2.0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2.0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2.0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2.0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2.0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2.0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2.0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2.0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2.0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2.0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2.0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2.0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2.0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2.0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2.0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2.0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2.0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2.0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2.0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2.0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2.0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2.0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2.0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2.0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2.0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2.0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2.0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2.0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2.0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2.0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2.0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2.0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2.0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2.0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2.0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2.0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2.0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2.0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2.0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2.0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2.0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2.0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2.0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2.0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2.0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2.0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2.0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2.0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2.0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2.0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2.0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2.0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2.0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2.0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2.0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2.0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2.0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2.0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2.0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2.0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2.0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2.0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2.0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2.0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2.0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2.0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2.0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2.0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2.0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2.0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2.0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2.0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2.0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2.0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2.0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2.0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2.0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2.0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2.0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2.0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2.0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2.0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2.0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2.0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2.0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2.0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2.0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2.0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2.0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2.0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2.0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2.0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2.0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2.0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2.0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2.0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2.0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2.0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2.0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2.0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2.0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2.0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2.0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2.0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2.0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2.0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2.0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2.0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2.0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2.0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2.0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2.0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2.0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2.0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2.0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2.0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2.0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2.0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2.0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2.0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2.0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2.0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2.0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2.0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2.0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2.0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2.0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2.0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2.0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2.0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2.0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2.0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2.0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2.0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2.0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2.0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2.0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2.0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2.0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2.0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2.0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2.0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2.0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2.0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2.0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2.0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2.0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2.0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2.0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2.0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2.0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2.0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2.0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2.0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2.0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2.0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2.0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2.0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2.0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2.0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2.0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2.0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2.0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2.0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2.0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2.0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2.0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2.0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2.0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2.0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2.0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2.0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2.0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2.0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2.0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2.0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2.0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2.0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2.0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2.0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2.0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2.0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2.0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2.0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2.0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2.0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2.0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2.0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2.0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2.0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2.0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2.0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2.0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2.0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2.0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2.0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2.0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2.0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2.0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2.0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2.0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2.0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2.0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2.0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2.0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2.0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2.0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2.0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2.0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2.0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2.0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2.0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2.0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2.0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2.0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2.0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2.0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2.0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2.0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2.0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2.0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2.0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2.0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2.0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2.0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2.0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2.0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2.0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2.0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2.0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2.0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2.0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2.0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2.0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2.0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2.0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2.0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2.0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2.0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2.0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2.0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2.0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2.0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2.0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2.0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2.0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2.0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2.0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2.0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2.0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2.0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2.0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2.0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2.0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2.0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2.0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2.0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2.0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2.0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2.0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2.0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2.0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2.0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2.0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2.0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2.0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2.0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2.0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2.0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2.0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2.0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2.0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2.0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2.0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2.0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2.0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2.0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2.0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2.0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2.0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2.0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2.0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2.0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2.0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2.0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2.0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2.0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2.0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2.0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2.0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2.0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2.0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2.0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2.0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2.0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2.0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2.0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2.0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2.0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2.0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2.0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2.0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2.0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2.0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2.0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2.0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2.0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2.0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2.0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2.0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2.0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2.0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2.0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2.0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2.0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2.0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2.0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2.0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2.0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2.0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2.0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2.0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2.0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2.0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2.0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2.0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2.0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2.0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2.0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2.0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2.0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2.0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2.0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2.0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2.0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2.0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2.0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2.0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2.0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2.0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2.0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2.0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2.0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2.0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2.0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2.0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2.0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2.0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2.0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2.0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2.0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2.0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2.0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2.0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2.0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2.0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2.0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2.0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2.0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2.0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2.0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2.0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2.0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2.0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2.0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2.0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2.0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2.0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2.0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2.0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2.0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2.0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2.0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2.0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2.0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2.0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2.0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2.0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2.0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2.0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2.0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2.0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2.0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2.0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2.0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2.0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2.0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2.0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2.0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2.0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2.0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2.0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2.0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2.0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2.0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2.0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2.0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2.0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2.0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2.0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2.0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2.0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2.0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2.0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2.0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2.0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2.0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2.0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2.0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2.0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2.0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2.0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2.0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2.0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2.0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2.0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2.0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2.0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2.0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2.0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2.0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2.0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2.0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2.0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2.0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2.0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2.0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2.0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2.0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2.0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2.0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2.0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2.0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2.0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2.0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2.0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2.0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2.0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2.0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2.0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2.0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2.0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2.0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2.0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2.0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2.0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2.0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2.0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2.0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2.0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2.0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2.0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2.0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2.0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2.0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2.0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2.0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2.0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2.0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2.0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2.0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2.0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2.0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2.0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2.0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2.0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2.0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2.0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2.0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2.0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2.0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2.0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2.0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2.0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2.0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2.0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2.0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2.0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2.0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2.0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2.0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2.0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2.0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2.0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2.0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2.0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2.0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2.0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2.0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2.0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2.0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2.0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2.0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2.0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2.0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2.0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2.0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2.0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2.0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2.0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2.0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2.0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2.0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2.0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2.0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2.0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2.0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2.0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2.0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2.0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2.0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2.0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2.0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2.0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2.0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2.0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2.0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2.0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2.0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2.0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2.0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2.0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2.0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3">
    <mergeCell ref="A7:N7"/>
    <mergeCell ref="A8:N8"/>
    <mergeCell ref="A39:M39"/>
  </mergeCells>
  <printOptions/>
  <pageMargins bottom="0.75" footer="0.0" header="0.0" left="0.45" right="0.45" top="0.7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3.43"/>
    <col customWidth="1" min="2" max="14" width="14.71"/>
    <col customWidth="1" min="15" max="26" width="8.86"/>
  </cols>
  <sheetData>
    <row r="1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4"/>
      <c r="B3" s="51"/>
      <c r="C3" s="51"/>
      <c r="D3" s="51"/>
      <c r="E3" s="3" t="s">
        <v>0</v>
      </c>
      <c r="F3" s="51"/>
      <c r="G3" s="51"/>
      <c r="H3" s="51"/>
      <c r="I3" s="51"/>
      <c r="J3" s="51"/>
      <c r="K3" s="51"/>
      <c r="L3" s="51"/>
      <c r="M3" s="51"/>
      <c r="N3" s="51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4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11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94" t="s">
        <v>18</v>
      </c>
      <c r="B6" s="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8" t="s">
        <v>2</v>
      </c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>
      <c r="A8" s="55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7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58" t="s">
        <v>4</v>
      </c>
      <c r="B9" s="59" t="s">
        <v>62</v>
      </c>
      <c r="C9" s="59" t="s">
        <v>63</v>
      </c>
      <c r="D9" s="59" t="s">
        <v>64</v>
      </c>
      <c r="E9" s="59" t="s">
        <v>65</v>
      </c>
      <c r="F9" s="59" t="s">
        <v>66</v>
      </c>
      <c r="G9" s="59" t="s">
        <v>67</v>
      </c>
      <c r="H9" s="59" t="s">
        <v>68</v>
      </c>
      <c r="I9" s="59" t="s">
        <v>69</v>
      </c>
      <c r="J9" s="59" t="s">
        <v>70</v>
      </c>
      <c r="K9" s="59" t="s">
        <v>71</v>
      </c>
      <c r="L9" s="59" t="s">
        <v>72</v>
      </c>
      <c r="M9" s="59" t="s">
        <v>73</v>
      </c>
      <c r="N9" s="59" t="s">
        <v>74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83" t="s">
        <v>101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108" t="s">
        <v>75</v>
      </c>
      <c r="B11" s="31">
        <v>60453.029132742726</v>
      </c>
      <c r="C11" s="31">
        <v>49738.4211131323</v>
      </c>
      <c r="D11" s="31">
        <v>49976.338626533776</v>
      </c>
      <c r="E11" s="31">
        <v>49793.56054398</v>
      </c>
      <c r="F11" s="31">
        <v>50643.58916474669</v>
      </c>
      <c r="G11" s="31">
        <v>48390.44075353644</v>
      </c>
      <c r="H11" s="31">
        <v>47834.463277143004</v>
      </c>
      <c r="I11" s="31">
        <v>60742.333386678154</v>
      </c>
      <c r="J11" s="31">
        <v>57271.521699503974</v>
      </c>
      <c r="K11" s="31">
        <v>69998.74672691742</v>
      </c>
      <c r="L11" s="31">
        <v>58893.911486386314</v>
      </c>
      <c r="M11" s="31">
        <v>68483.48624470847</v>
      </c>
      <c r="N11" s="25">
        <f>SUM(B11:M11)</f>
        <v>672219.8422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22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5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33" t="s">
        <v>31</v>
      </c>
      <c r="B13" s="31">
        <v>1785.849570775</v>
      </c>
      <c r="C13" s="31">
        <v>2177.44098703242</v>
      </c>
      <c r="D13" s="31">
        <v>2137.03510824</v>
      </c>
      <c r="E13" s="31">
        <v>2041.57451344</v>
      </c>
      <c r="F13" s="31">
        <v>1906.7266513000004</v>
      </c>
      <c r="G13" s="31">
        <v>2224.68086929856</v>
      </c>
      <c r="H13" s="31">
        <v>1952.596548555</v>
      </c>
      <c r="I13" s="31">
        <v>1948.68901</v>
      </c>
      <c r="J13" s="31">
        <v>2170.996041396</v>
      </c>
      <c r="K13" s="31">
        <v>2348.683694956</v>
      </c>
      <c r="L13" s="31">
        <v>2704.220835663</v>
      </c>
      <c r="M13" s="31">
        <v>3620.0364326000004</v>
      </c>
      <c r="N13" s="25">
        <f t="shared" ref="N13:N22" si="1">SUM(B13:M13)</f>
        <v>27018.53026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33" t="s">
        <v>32</v>
      </c>
      <c r="B14" s="31">
        <v>103.432408596</v>
      </c>
      <c r="C14" s="31">
        <v>0.0</v>
      </c>
      <c r="D14" s="31">
        <v>1038.637640699</v>
      </c>
      <c r="E14" s="31">
        <v>691.76028178</v>
      </c>
      <c r="F14" s="31">
        <v>546.2906917849999</v>
      </c>
      <c r="G14" s="31">
        <v>185.96</v>
      </c>
      <c r="H14" s="31">
        <v>745.401269766</v>
      </c>
      <c r="I14" s="31">
        <v>0.0</v>
      </c>
      <c r="J14" s="31">
        <v>0.0</v>
      </c>
      <c r="K14" s="31">
        <v>0.0</v>
      </c>
      <c r="L14" s="31">
        <v>0.0</v>
      </c>
      <c r="M14" s="31">
        <v>0.0</v>
      </c>
      <c r="N14" s="25">
        <f t="shared" si="1"/>
        <v>3311.482293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33" t="s">
        <v>33</v>
      </c>
      <c r="B15" s="31">
        <v>808.8319065000001</v>
      </c>
      <c r="C15" s="31">
        <v>644.7493019</v>
      </c>
      <c r="D15" s="31">
        <v>719.3260033</v>
      </c>
      <c r="E15" s="31">
        <v>985.017458</v>
      </c>
      <c r="F15" s="31">
        <v>521.087228</v>
      </c>
      <c r="G15" s="31">
        <v>924.1961348</v>
      </c>
      <c r="H15" s="31">
        <v>848.1407476999999</v>
      </c>
      <c r="I15" s="31">
        <v>1149.2541031</v>
      </c>
      <c r="J15" s="31">
        <v>1159.9836497</v>
      </c>
      <c r="K15" s="31">
        <v>554.8654966</v>
      </c>
      <c r="L15" s="31">
        <v>555.091305874</v>
      </c>
      <c r="M15" s="31">
        <v>956.8930968</v>
      </c>
      <c r="N15" s="25">
        <f t="shared" si="1"/>
        <v>9827.436432</v>
      </c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33" t="s">
        <v>34</v>
      </c>
      <c r="B16" s="31">
        <v>0.0</v>
      </c>
      <c r="C16" s="31">
        <v>0.0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25">
        <f t="shared" si="1"/>
        <v>0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33" t="s">
        <v>35</v>
      </c>
      <c r="B17" s="31">
        <v>634.12199205</v>
      </c>
      <c r="C17" s="31">
        <v>663.8476798822165</v>
      </c>
      <c r="D17" s="31">
        <v>501.067</v>
      </c>
      <c r="E17" s="31">
        <v>501.059355</v>
      </c>
      <c r="F17" s="31">
        <v>410.262198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25">
        <f t="shared" si="1"/>
        <v>2710.358225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33" t="s">
        <v>36</v>
      </c>
      <c r="B18" s="31">
        <v>2463.9830716890006</v>
      </c>
      <c r="C18" s="31">
        <v>195.339676</v>
      </c>
      <c r="D18" s="31">
        <v>841.31881681</v>
      </c>
      <c r="E18" s="31">
        <v>1.0963243</v>
      </c>
      <c r="F18" s="31">
        <v>61.7525594</v>
      </c>
      <c r="G18" s="31">
        <v>7.129882</v>
      </c>
      <c r="H18" s="31">
        <v>17.8469005</v>
      </c>
      <c r="I18" s="31">
        <v>7.1289446</v>
      </c>
      <c r="J18" s="31">
        <v>93.0217385</v>
      </c>
      <c r="K18" s="31">
        <v>1017.1270852488</v>
      </c>
      <c r="L18" s="31">
        <v>315.22893526900003</v>
      </c>
      <c r="M18" s="31">
        <v>18.2829722</v>
      </c>
      <c r="N18" s="25">
        <f t="shared" si="1"/>
        <v>5039.256907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33" t="s">
        <v>37</v>
      </c>
      <c r="B19" s="31">
        <v>598.185659</v>
      </c>
      <c r="C19" s="31">
        <v>532.4417433</v>
      </c>
      <c r="D19" s="31">
        <v>583.7110555</v>
      </c>
      <c r="E19" s="31">
        <v>464.4597245</v>
      </c>
      <c r="F19" s="31">
        <v>811.0185429</v>
      </c>
      <c r="G19" s="31">
        <v>825.0789794</v>
      </c>
      <c r="H19" s="31">
        <v>568.645459</v>
      </c>
      <c r="I19" s="31">
        <v>988.6606242</v>
      </c>
      <c r="J19" s="31">
        <v>811.3347834</v>
      </c>
      <c r="K19" s="31">
        <v>841.8834002</v>
      </c>
      <c r="L19" s="31">
        <v>609.3827839999999</v>
      </c>
      <c r="M19" s="31">
        <v>678.829076</v>
      </c>
      <c r="N19" s="25">
        <f t="shared" si="1"/>
        <v>8313.631831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33" t="s">
        <v>38</v>
      </c>
      <c r="B20" s="31">
        <v>318.6720379</v>
      </c>
      <c r="C20" s="31">
        <v>71.8061809</v>
      </c>
      <c r="D20" s="31">
        <v>195.12870709999999</v>
      </c>
      <c r="E20" s="31">
        <v>469.9382018</v>
      </c>
      <c r="F20" s="31">
        <v>626.6222793</v>
      </c>
      <c r="G20" s="31">
        <v>579.9655287999999</v>
      </c>
      <c r="H20" s="31">
        <v>197.0142706</v>
      </c>
      <c r="I20" s="31">
        <v>521.5843709000001</v>
      </c>
      <c r="J20" s="31">
        <v>323.96177500000005</v>
      </c>
      <c r="K20" s="31">
        <v>30.1467624</v>
      </c>
      <c r="L20" s="31">
        <v>705.020090366</v>
      </c>
      <c r="M20" s="31">
        <v>352.2425852</v>
      </c>
      <c r="N20" s="25">
        <f t="shared" si="1"/>
        <v>4392.10279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75" customHeight="1">
      <c r="A21" s="33" t="s">
        <v>39</v>
      </c>
      <c r="B21" s="31">
        <v>15.6622943</v>
      </c>
      <c r="C21" s="31">
        <v>22.6825586</v>
      </c>
      <c r="D21" s="31">
        <v>4.181035</v>
      </c>
      <c r="E21" s="31">
        <v>13.4420397</v>
      </c>
      <c r="F21" s="31">
        <v>2.0986021</v>
      </c>
      <c r="G21" s="31">
        <v>3.9878675</v>
      </c>
      <c r="H21" s="31">
        <v>3.5058825</v>
      </c>
      <c r="I21" s="31">
        <v>12.5808775</v>
      </c>
      <c r="J21" s="31">
        <v>13.8748384</v>
      </c>
      <c r="K21" s="31">
        <v>7.4337785</v>
      </c>
      <c r="L21" s="31">
        <v>41.4731932</v>
      </c>
      <c r="M21" s="31">
        <v>55.8586278</v>
      </c>
      <c r="N21" s="25">
        <f t="shared" si="1"/>
        <v>196.7815951</v>
      </c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75" customHeight="1">
      <c r="A22" s="33" t="s">
        <v>114</v>
      </c>
      <c r="B22" s="31">
        <v>682.4371084000004</v>
      </c>
      <c r="C22" s="31">
        <v>716.1419976999996</v>
      </c>
      <c r="D22" s="31">
        <v>754.0138767529997</v>
      </c>
      <c r="E22" s="31">
        <v>520.386164399998</v>
      </c>
      <c r="F22" s="31">
        <v>629.1252328999999</v>
      </c>
      <c r="G22" s="31">
        <v>497.04169959999854</v>
      </c>
      <c r="H22" s="31">
        <v>314.6479195690008</v>
      </c>
      <c r="I22" s="31">
        <v>954.0325407635646</v>
      </c>
      <c r="J22" s="31">
        <v>466.1817351569998</v>
      </c>
      <c r="K22" s="31">
        <v>586.2591804000003</v>
      </c>
      <c r="L22" s="31">
        <v>519.2305162519997</v>
      </c>
      <c r="M22" s="31">
        <v>642.0443250079998</v>
      </c>
      <c r="N22" s="25">
        <f t="shared" si="1"/>
        <v>7281.542297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75" customHeight="1">
      <c r="A23" s="88" t="s">
        <v>103</v>
      </c>
      <c r="B23" s="63">
        <f t="shared" ref="B23:N23" si="2">SUM(B13:B22)</f>
        <v>7411.176049</v>
      </c>
      <c r="C23" s="63">
        <f t="shared" si="2"/>
        <v>5024.450125</v>
      </c>
      <c r="D23" s="63">
        <f t="shared" si="2"/>
        <v>6774.419243</v>
      </c>
      <c r="E23" s="63">
        <f t="shared" si="2"/>
        <v>5688.734063</v>
      </c>
      <c r="F23" s="63">
        <f t="shared" si="2"/>
        <v>5514.983986</v>
      </c>
      <c r="G23" s="63">
        <f t="shared" si="2"/>
        <v>5248.040961</v>
      </c>
      <c r="H23" s="63">
        <f t="shared" si="2"/>
        <v>4647.798998</v>
      </c>
      <c r="I23" s="63">
        <f t="shared" si="2"/>
        <v>5581.930471</v>
      </c>
      <c r="J23" s="63">
        <f t="shared" si="2"/>
        <v>5039.354562</v>
      </c>
      <c r="K23" s="63">
        <f t="shared" si="2"/>
        <v>5386.399398</v>
      </c>
      <c r="L23" s="63">
        <f t="shared" si="2"/>
        <v>5449.647661</v>
      </c>
      <c r="M23" s="63">
        <f t="shared" si="2"/>
        <v>6324.187116</v>
      </c>
      <c r="N23" s="63">
        <f t="shared" si="2"/>
        <v>68091.12263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75" customHeight="1">
      <c r="A24" s="89" t="s">
        <v>80</v>
      </c>
      <c r="B24" s="63">
        <f t="shared" ref="B24:F24" si="3">+B23+B11</f>
        <v>67864.20518</v>
      </c>
      <c r="C24" s="63">
        <f t="shared" si="3"/>
        <v>54762.87124</v>
      </c>
      <c r="D24" s="63">
        <f t="shared" si="3"/>
        <v>56750.75787</v>
      </c>
      <c r="E24" s="63">
        <f t="shared" si="3"/>
        <v>55482.29461</v>
      </c>
      <c r="F24" s="63">
        <f t="shared" si="3"/>
        <v>56158.57315</v>
      </c>
      <c r="G24" s="63">
        <f t="shared" ref="G24:N24" si="4">+G11+G23</f>
        <v>53638.48171</v>
      </c>
      <c r="H24" s="63">
        <f t="shared" si="4"/>
        <v>52482.26228</v>
      </c>
      <c r="I24" s="63">
        <f t="shared" si="4"/>
        <v>66324.26386</v>
      </c>
      <c r="J24" s="63">
        <f t="shared" si="4"/>
        <v>62310.87626</v>
      </c>
      <c r="K24" s="63">
        <f t="shared" si="4"/>
        <v>75385.14613</v>
      </c>
      <c r="L24" s="63">
        <f t="shared" si="4"/>
        <v>64343.55915</v>
      </c>
      <c r="M24" s="63">
        <f t="shared" si="4"/>
        <v>74807.67336</v>
      </c>
      <c r="N24" s="63">
        <f t="shared" si="4"/>
        <v>740310.9648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75" customHeight="1">
      <c r="A25" s="87" t="s">
        <v>104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5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5.75" customHeight="1">
      <c r="A26" s="33" t="s">
        <v>31</v>
      </c>
      <c r="B26" s="31">
        <v>68.28</v>
      </c>
      <c r="C26" s="31">
        <v>83.43</v>
      </c>
      <c r="D26" s="31">
        <v>74.23</v>
      </c>
      <c r="E26" s="31">
        <v>63.97</v>
      </c>
      <c r="F26" s="31">
        <v>49.32</v>
      </c>
      <c r="G26" s="31">
        <v>83.02</v>
      </c>
      <c r="H26" s="31">
        <v>78.79</v>
      </c>
      <c r="I26" s="31">
        <v>83.34</v>
      </c>
      <c r="J26" s="31">
        <v>79.19</v>
      </c>
      <c r="K26" s="31">
        <v>64.687</v>
      </c>
      <c r="L26" s="31">
        <v>105.52</v>
      </c>
      <c r="M26" s="31">
        <v>113.4</v>
      </c>
      <c r="N26" s="25">
        <f t="shared" ref="N26:N36" si="5">SUM(B26:M26)</f>
        <v>947.177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5.75" customHeight="1">
      <c r="A27" s="33" t="s">
        <v>81</v>
      </c>
      <c r="B27" s="31">
        <v>6134.356489816746</v>
      </c>
      <c r="C27" s="31">
        <v>6187.952352797271</v>
      </c>
      <c r="D27" s="31">
        <v>6216.4194451559</v>
      </c>
      <c r="E27" s="31">
        <v>5633.3723482937585</v>
      </c>
      <c r="F27" s="31">
        <v>5103.112155336</v>
      </c>
      <c r="G27" s="31">
        <v>7017.252490533855</v>
      </c>
      <c r="H27" s="31">
        <v>4586.728613964</v>
      </c>
      <c r="I27" s="31">
        <v>5065.9683271628755</v>
      </c>
      <c r="J27" s="31">
        <v>7383.744329492338</v>
      </c>
      <c r="K27" s="31">
        <v>5834.110212695724</v>
      </c>
      <c r="L27" s="31">
        <v>5704.566346427834</v>
      </c>
      <c r="M27" s="31">
        <v>9114.234525293574</v>
      </c>
      <c r="N27" s="25">
        <f t="shared" si="5"/>
        <v>73981.81764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5.75" customHeight="1">
      <c r="A28" s="33" t="s">
        <v>33</v>
      </c>
      <c r="B28" s="31">
        <v>4031.29778795</v>
      </c>
      <c r="C28" s="31">
        <v>3581.2296775644286</v>
      </c>
      <c r="D28" s="31">
        <v>3426.73684271492</v>
      </c>
      <c r="E28" s="31">
        <v>3948.0693170357677</v>
      </c>
      <c r="F28" s="31">
        <v>4112.049800282499</v>
      </c>
      <c r="G28" s="31">
        <v>3230.144847096529</v>
      </c>
      <c r="H28" s="31">
        <v>2802.8993036400007</v>
      </c>
      <c r="I28" s="31">
        <v>4630.95582574</v>
      </c>
      <c r="J28" s="31">
        <v>3634.6215843222076</v>
      </c>
      <c r="K28" s="31">
        <v>3557.941647321224</v>
      </c>
      <c r="L28" s="31">
        <v>4085.7089225009927</v>
      </c>
      <c r="M28" s="31">
        <v>4578.090484768233</v>
      </c>
      <c r="N28" s="25">
        <f t="shared" si="5"/>
        <v>45619.74604</v>
      </c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5.75" customHeight="1">
      <c r="A29" s="90" t="s">
        <v>83</v>
      </c>
      <c r="B29" s="31">
        <v>1425.3400000000001</v>
      </c>
      <c r="C29" s="31">
        <v>1522.9758947470002</v>
      </c>
      <c r="D29" s="31">
        <v>1949.95</v>
      </c>
      <c r="E29" s="31">
        <v>1875.35</v>
      </c>
      <c r="F29" s="31">
        <v>2033.3400000000001</v>
      </c>
      <c r="G29" s="31">
        <v>2115.63</v>
      </c>
      <c r="H29" s="31">
        <v>2487.1</v>
      </c>
      <c r="I29" s="31">
        <v>2195.5299999999997</v>
      </c>
      <c r="J29" s="31">
        <v>2092.62</v>
      </c>
      <c r="K29" s="31">
        <v>1570.2789999999998</v>
      </c>
      <c r="L29" s="31">
        <v>1256.92</v>
      </c>
      <c r="M29" s="31">
        <v>1331.6100000000001</v>
      </c>
      <c r="N29" s="25">
        <f t="shared" si="5"/>
        <v>21856.64489</v>
      </c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5.75" customHeight="1">
      <c r="A30" s="90" t="s">
        <v>35</v>
      </c>
      <c r="B30" s="31">
        <v>13.96</v>
      </c>
      <c r="C30" s="31">
        <v>21.38</v>
      </c>
      <c r="D30" s="31">
        <v>10.25</v>
      </c>
      <c r="E30" s="31">
        <v>14.98</v>
      </c>
      <c r="F30" s="31">
        <v>10.25</v>
      </c>
      <c r="G30" s="31">
        <v>13.27</v>
      </c>
      <c r="H30" s="31">
        <v>9.81</v>
      </c>
      <c r="I30" s="31">
        <v>13.12</v>
      </c>
      <c r="J30" s="31">
        <v>17.92</v>
      </c>
      <c r="K30" s="31">
        <v>23.267</v>
      </c>
      <c r="L30" s="31">
        <v>21.23</v>
      </c>
      <c r="M30" s="31">
        <v>21.48</v>
      </c>
      <c r="N30" s="25">
        <f t="shared" si="5"/>
        <v>190.917</v>
      </c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5.75" customHeight="1">
      <c r="A31" s="90" t="s">
        <v>36</v>
      </c>
      <c r="B31" s="31">
        <v>7267.679301712417</v>
      </c>
      <c r="C31" s="31">
        <v>10182.760364414824</v>
      </c>
      <c r="D31" s="31">
        <v>7589.082041466417</v>
      </c>
      <c r="E31" s="31">
        <v>7937.313394031217</v>
      </c>
      <c r="F31" s="31">
        <v>8115.226926213417</v>
      </c>
      <c r="G31" s="31">
        <v>9178.102079949416</v>
      </c>
      <c r="H31" s="31">
        <v>10364.897390422417</v>
      </c>
      <c r="I31" s="31">
        <v>9416.003637248417</v>
      </c>
      <c r="J31" s="31">
        <v>9246.247329909416</v>
      </c>
      <c r="K31" s="31">
        <v>7087.052794285417</v>
      </c>
      <c r="L31" s="31">
        <v>6473.863117105417</v>
      </c>
      <c r="M31" s="31">
        <v>11713.695838343416</v>
      </c>
      <c r="N31" s="25">
        <f t="shared" si="5"/>
        <v>104571.9242</v>
      </c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5.75" customHeight="1">
      <c r="A32" s="90" t="s">
        <v>46</v>
      </c>
      <c r="B32" s="31">
        <v>32.33</v>
      </c>
      <c r="C32" s="31">
        <v>33.616331</v>
      </c>
      <c r="D32" s="31">
        <v>29.664650000000005</v>
      </c>
      <c r="E32" s="31">
        <v>32.49295</v>
      </c>
      <c r="F32" s="31">
        <v>29.10534</v>
      </c>
      <c r="G32" s="31">
        <v>31.71096</v>
      </c>
      <c r="H32" s="31">
        <v>33.818928</v>
      </c>
      <c r="I32" s="31">
        <v>0.0</v>
      </c>
      <c r="J32" s="31">
        <v>34.28029600000001</v>
      </c>
      <c r="K32" s="31">
        <v>0.0</v>
      </c>
      <c r="L32" s="31">
        <v>35.030448</v>
      </c>
      <c r="M32" s="31">
        <v>39.1</v>
      </c>
      <c r="N32" s="25">
        <f t="shared" si="5"/>
        <v>331.149903</v>
      </c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5.75" customHeight="1">
      <c r="A33" s="90" t="s">
        <v>47</v>
      </c>
      <c r="B33" s="31">
        <v>1.3113432660000002</v>
      </c>
      <c r="C33" s="31">
        <v>2.590637139</v>
      </c>
      <c r="D33" s="31">
        <v>2.817351964</v>
      </c>
      <c r="E33" s="31">
        <v>2.892781364</v>
      </c>
      <c r="F33" s="31">
        <v>2.7324060660000002</v>
      </c>
      <c r="G33" s="31">
        <v>5.986473866</v>
      </c>
      <c r="H33" s="31">
        <v>2.7516557930000003</v>
      </c>
      <c r="I33" s="31">
        <v>2.8855567090000003</v>
      </c>
      <c r="J33" s="31">
        <v>28.332569</v>
      </c>
      <c r="K33" s="31">
        <v>36.798209951000004</v>
      </c>
      <c r="L33" s="31">
        <v>67.785231002</v>
      </c>
      <c r="M33" s="31">
        <v>23.888681434000002</v>
      </c>
      <c r="N33" s="25">
        <f t="shared" si="5"/>
        <v>180.7728976</v>
      </c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5.75" customHeight="1">
      <c r="A34" s="90" t="s">
        <v>38</v>
      </c>
      <c r="B34" s="31">
        <v>1186.6190670467504</v>
      </c>
      <c r="C34" s="31">
        <v>1935.771690232691</v>
      </c>
      <c r="D34" s="31">
        <v>1967.42966301776</v>
      </c>
      <c r="E34" s="31">
        <v>2284.7891306491465</v>
      </c>
      <c r="F34" s="31">
        <v>2393.675220584764</v>
      </c>
      <c r="G34" s="31">
        <v>2107.056949511</v>
      </c>
      <c r="H34" s="31">
        <v>1939.979635919</v>
      </c>
      <c r="I34" s="31">
        <v>2161.056765973093</v>
      </c>
      <c r="J34" s="31">
        <v>2494.7087700783686</v>
      </c>
      <c r="K34" s="31">
        <v>2730.590913751868</v>
      </c>
      <c r="L34" s="31">
        <v>2144.3810468450893</v>
      </c>
      <c r="M34" s="31">
        <v>2230.207691335345</v>
      </c>
      <c r="N34" s="25">
        <f t="shared" si="5"/>
        <v>25576.26654</v>
      </c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5.75" customHeight="1">
      <c r="A35" s="90" t="s">
        <v>39</v>
      </c>
      <c r="B35" s="31">
        <v>8.652598862</v>
      </c>
      <c r="C35" s="31">
        <v>0.732351962</v>
      </c>
      <c r="D35" s="31">
        <v>7.049742059000001</v>
      </c>
      <c r="E35" s="31">
        <v>0.0</v>
      </c>
      <c r="F35" s="31">
        <v>0.0</v>
      </c>
      <c r="G35" s="31">
        <v>0.0</v>
      </c>
      <c r="H35" s="31">
        <v>0.0</v>
      </c>
      <c r="I35" s="31">
        <v>0.8683511</v>
      </c>
      <c r="J35" s="31">
        <v>8.2535352</v>
      </c>
      <c r="K35" s="31">
        <v>0.0</v>
      </c>
      <c r="L35" s="31">
        <v>0.9825816</v>
      </c>
      <c r="M35" s="31">
        <v>0.2630561</v>
      </c>
      <c r="N35" s="25">
        <f t="shared" si="5"/>
        <v>26.80221688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5.75" customHeight="1">
      <c r="A36" s="31" t="s">
        <v>115</v>
      </c>
      <c r="B36" s="31">
        <v>1428.2000000000007</v>
      </c>
      <c r="C36" s="31">
        <v>1062.2022951941362</v>
      </c>
      <c r="D36" s="31">
        <v>814.8110593999991</v>
      </c>
      <c r="E36" s="31">
        <v>1003.0399999999972</v>
      </c>
      <c r="F36" s="31">
        <v>646.2210593999989</v>
      </c>
      <c r="G36" s="31">
        <v>796.0510594000043</v>
      </c>
      <c r="H36" s="31">
        <v>958.4841941999985</v>
      </c>
      <c r="I36" s="31">
        <v>972.9300000000039</v>
      </c>
      <c r="J36" s="31">
        <v>703.1167083999972</v>
      </c>
      <c r="K36" s="31">
        <v>660.0</v>
      </c>
      <c r="L36" s="31">
        <v>1041.0567084000031</v>
      </c>
      <c r="M36" s="31">
        <v>1274.8985952000003</v>
      </c>
      <c r="N36" s="25">
        <f t="shared" si="5"/>
        <v>11361.01168</v>
      </c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t="15.75" customHeight="1">
      <c r="A37" s="89" t="s">
        <v>107</v>
      </c>
      <c r="B37" s="63">
        <f t="shared" ref="B37:N37" si="6">SUM(B26:B36)</f>
        <v>21598.02659</v>
      </c>
      <c r="C37" s="63">
        <f t="shared" si="6"/>
        <v>24614.6416</v>
      </c>
      <c r="D37" s="63">
        <f t="shared" si="6"/>
        <v>22088.4408</v>
      </c>
      <c r="E37" s="63">
        <f t="shared" si="6"/>
        <v>22796.26992</v>
      </c>
      <c r="F37" s="63">
        <f t="shared" si="6"/>
        <v>22495.03291</v>
      </c>
      <c r="G37" s="63">
        <f t="shared" si="6"/>
        <v>24578.22486</v>
      </c>
      <c r="H37" s="63">
        <f t="shared" si="6"/>
        <v>23265.25972</v>
      </c>
      <c r="I37" s="63">
        <f t="shared" si="6"/>
        <v>24542.65846</v>
      </c>
      <c r="J37" s="63">
        <f t="shared" si="6"/>
        <v>25723.03512</v>
      </c>
      <c r="K37" s="63">
        <f t="shared" si="6"/>
        <v>21564.72678</v>
      </c>
      <c r="L37" s="63">
        <f t="shared" si="6"/>
        <v>20937.0444</v>
      </c>
      <c r="M37" s="63">
        <f t="shared" si="6"/>
        <v>30440.86887</v>
      </c>
      <c r="N37" s="63">
        <f t="shared" si="6"/>
        <v>284644.23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5.75" customHeight="1">
      <c r="A38" s="89" t="s">
        <v>50</v>
      </c>
      <c r="B38" s="63">
        <f t="shared" ref="B38:N38" si="7">+B24-B37</f>
        <v>46266.17859</v>
      </c>
      <c r="C38" s="63">
        <f t="shared" si="7"/>
        <v>30148.22964</v>
      </c>
      <c r="D38" s="63">
        <f t="shared" si="7"/>
        <v>34662.31707</v>
      </c>
      <c r="E38" s="63">
        <f t="shared" si="7"/>
        <v>32686.02469</v>
      </c>
      <c r="F38" s="63">
        <f t="shared" si="7"/>
        <v>33663.54024</v>
      </c>
      <c r="G38" s="63">
        <f t="shared" si="7"/>
        <v>29060.25685</v>
      </c>
      <c r="H38" s="63">
        <f t="shared" si="7"/>
        <v>29217.00255</v>
      </c>
      <c r="I38" s="63">
        <f t="shared" si="7"/>
        <v>41781.60539</v>
      </c>
      <c r="J38" s="63">
        <f t="shared" si="7"/>
        <v>36587.84114</v>
      </c>
      <c r="K38" s="63">
        <f t="shared" si="7"/>
        <v>53820.41935</v>
      </c>
      <c r="L38" s="63">
        <f t="shared" si="7"/>
        <v>43406.51475</v>
      </c>
      <c r="M38" s="63">
        <f t="shared" si="7"/>
        <v>44366.80449</v>
      </c>
      <c r="N38" s="63">
        <f t="shared" si="7"/>
        <v>455666.7348</v>
      </c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5.75" customHeight="1">
      <c r="A39" s="92" t="s">
        <v>52</v>
      </c>
      <c r="N39" s="109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5.0" customHeight="1">
      <c r="A40" s="44" t="s">
        <v>53</v>
      </c>
      <c r="B40" s="45"/>
      <c r="C40" s="45"/>
      <c r="D40" s="45"/>
      <c r="E40" s="45"/>
      <c r="F40" s="45"/>
      <c r="G40" s="93"/>
      <c r="H40" s="93"/>
      <c r="I40" s="93"/>
      <c r="J40" s="93"/>
      <c r="K40" s="93"/>
      <c r="L40" s="93"/>
      <c r="M40" s="93"/>
      <c r="N40" s="70"/>
      <c r="O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5.75" customHeight="1">
      <c r="A41" s="47" t="s">
        <v>54</v>
      </c>
      <c r="B41" s="45"/>
      <c r="C41" s="45"/>
      <c r="D41" s="45"/>
      <c r="E41" s="45"/>
      <c r="F41" s="45"/>
      <c r="G41" s="93"/>
      <c r="H41" s="93"/>
      <c r="I41" s="93"/>
      <c r="J41" s="93"/>
      <c r="K41" s="93"/>
      <c r="L41" s="93"/>
      <c r="M41" s="93"/>
      <c r="N41" s="70"/>
      <c r="O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5.75" customHeight="1">
      <c r="A42" s="47" t="s">
        <v>55</v>
      </c>
      <c r="B42" s="45"/>
      <c r="C42" s="45"/>
      <c r="D42" s="45"/>
      <c r="E42" s="45"/>
      <c r="F42" s="45"/>
      <c r="G42" s="93"/>
      <c r="H42" s="93"/>
      <c r="I42" s="93"/>
      <c r="J42" s="93"/>
      <c r="K42" s="93"/>
      <c r="L42" s="93"/>
      <c r="M42" s="93"/>
      <c r="N42" s="70"/>
      <c r="O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5.75" customHeight="1">
      <c r="A43" s="47" t="s">
        <v>56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0"/>
      <c r="O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5.75" customHeight="1">
      <c r="A44" s="47" t="s">
        <v>57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70"/>
      <c r="O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5.75" customHeight="1">
      <c r="A45" s="47" t="s">
        <v>58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70"/>
      <c r="O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5.75" customHeight="1">
      <c r="A46" s="47" t="s">
        <v>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0"/>
      <c r="O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5.75" customHeight="1">
      <c r="A47" s="47" t="s">
        <v>60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70"/>
      <c r="O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3">
    <mergeCell ref="A7:N7"/>
    <mergeCell ref="A8:N8"/>
    <mergeCell ref="A39:M39"/>
  </mergeCells>
  <printOptions/>
  <pageMargins bottom="0.75" footer="0.0" header="0.0" left="0.45" right="0.45" top="0.75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6" width="8.71"/>
  </cols>
  <sheetData>
    <row r="1">
      <c r="A1" s="113" t="s">
        <v>116</v>
      </c>
    </row>
    <row r="3">
      <c r="B3" s="113" t="s">
        <v>117</v>
      </c>
      <c r="C3" s="113" t="s">
        <v>117</v>
      </c>
      <c r="D3" s="113" t="s">
        <v>117</v>
      </c>
      <c r="E3" s="113" t="s">
        <v>117</v>
      </c>
      <c r="F3" s="113" t="s">
        <v>117</v>
      </c>
      <c r="G3" s="113" t="s">
        <v>117</v>
      </c>
      <c r="H3" s="113" t="s">
        <v>117</v>
      </c>
      <c r="I3" s="113" t="s">
        <v>117</v>
      </c>
      <c r="J3" s="113" t="s">
        <v>117</v>
      </c>
      <c r="K3" s="113" t="s">
        <v>117</v>
      </c>
      <c r="L3" s="113" t="s">
        <v>117</v>
      </c>
      <c r="M3" s="113" t="s">
        <v>117</v>
      </c>
      <c r="N3" s="113" t="s">
        <v>117</v>
      </c>
    </row>
    <row r="5">
      <c r="A5" s="113" t="s">
        <v>118</v>
      </c>
      <c r="B5" s="114">
        <v>60453.029132742726</v>
      </c>
      <c r="C5" s="114">
        <v>49738.4211131323</v>
      </c>
      <c r="D5" s="114">
        <v>49976.338626533776</v>
      </c>
      <c r="E5" s="114">
        <v>49793.56054398</v>
      </c>
      <c r="F5" s="114">
        <v>50643.58916474669</v>
      </c>
      <c r="G5" s="114">
        <v>48390.44075353644</v>
      </c>
      <c r="H5" s="114">
        <v>47834.463277143004</v>
      </c>
      <c r="I5" s="114">
        <v>60742.333386678154</v>
      </c>
      <c r="J5" s="114">
        <v>57271.521699503974</v>
      </c>
      <c r="K5" s="114">
        <v>69998.74672691742</v>
      </c>
      <c r="L5" s="114">
        <v>58893.911486386314</v>
      </c>
      <c r="M5" s="114">
        <v>68483.48624470847</v>
      </c>
      <c r="N5" s="114">
        <f t="shared" ref="N5:N32" si="1">SUM(B5:M5)</f>
        <v>672219.8422</v>
      </c>
    </row>
    <row r="6">
      <c r="A6" s="113" t="s">
        <v>76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>
        <f t="shared" si="1"/>
        <v>0</v>
      </c>
    </row>
    <row r="7">
      <c r="A7" s="113" t="s">
        <v>31</v>
      </c>
      <c r="B7" s="114">
        <v>1785.849570775</v>
      </c>
      <c r="C7" s="114">
        <v>2177.44098703242</v>
      </c>
      <c r="D7" s="114">
        <v>2137.03510824</v>
      </c>
      <c r="E7" s="114">
        <v>2041.57451344</v>
      </c>
      <c r="F7" s="114">
        <v>1906.7266513000004</v>
      </c>
      <c r="G7" s="114">
        <v>2224.68086929856</v>
      </c>
      <c r="H7" s="114">
        <v>1952.596548555</v>
      </c>
      <c r="I7" s="114">
        <v>1948.68901</v>
      </c>
      <c r="J7" s="114">
        <v>2170.996041396</v>
      </c>
      <c r="K7" s="114">
        <v>2348.683694956</v>
      </c>
      <c r="L7" s="114">
        <v>2704.220835663</v>
      </c>
      <c r="M7" s="114">
        <v>3620.0364326000004</v>
      </c>
      <c r="N7" s="114">
        <f t="shared" si="1"/>
        <v>27018.53026</v>
      </c>
    </row>
    <row r="8">
      <c r="A8" s="113" t="s">
        <v>119</v>
      </c>
      <c r="B8" s="114">
        <v>808.8319065000001</v>
      </c>
      <c r="C8" s="114">
        <v>644.7493019</v>
      </c>
      <c r="D8" s="114">
        <v>719.3260033</v>
      </c>
      <c r="E8" s="114">
        <v>985.017458</v>
      </c>
      <c r="F8" s="114">
        <v>521.087228</v>
      </c>
      <c r="G8" s="114">
        <v>924.1961348</v>
      </c>
      <c r="H8" s="114">
        <v>848.1407476999999</v>
      </c>
      <c r="I8" s="114">
        <v>1149.2541031</v>
      </c>
      <c r="J8" s="114">
        <v>1159.9836497</v>
      </c>
      <c r="K8" s="114">
        <v>554.8654966</v>
      </c>
      <c r="L8" s="114">
        <v>555.091305874</v>
      </c>
      <c r="M8" s="114">
        <v>956.8930968</v>
      </c>
      <c r="N8" s="114">
        <f t="shared" si="1"/>
        <v>9827.436432</v>
      </c>
    </row>
    <row r="9">
      <c r="A9" s="113" t="s">
        <v>120</v>
      </c>
      <c r="B9" s="114">
        <v>103.432408596</v>
      </c>
      <c r="C9" s="114">
        <v>0.0</v>
      </c>
      <c r="D9" s="114">
        <v>1038.637640699</v>
      </c>
      <c r="E9" s="114">
        <v>691.76028178</v>
      </c>
      <c r="F9" s="114">
        <v>546.2906917849999</v>
      </c>
      <c r="G9" s="114">
        <v>185.96</v>
      </c>
      <c r="H9" s="114">
        <v>745.401269766</v>
      </c>
      <c r="I9" s="114">
        <v>0.0</v>
      </c>
      <c r="J9" s="114">
        <v>0.0</v>
      </c>
      <c r="K9" s="114">
        <v>0.0</v>
      </c>
      <c r="L9" s="114">
        <v>0.0</v>
      </c>
      <c r="M9" s="114">
        <v>0.0</v>
      </c>
      <c r="N9" s="114">
        <f t="shared" si="1"/>
        <v>3311.482293</v>
      </c>
    </row>
    <row r="10">
      <c r="A10" s="113" t="s">
        <v>121</v>
      </c>
      <c r="B10" s="114">
        <v>634.12199205</v>
      </c>
      <c r="C10" s="114">
        <v>663.8476798822165</v>
      </c>
      <c r="D10" s="114">
        <v>501.067</v>
      </c>
      <c r="E10" s="114">
        <v>501.059355</v>
      </c>
      <c r="F10" s="114">
        <v>410.262198</v>
      </c>
      <c r="G10" s="114">
        <v>0.0</v>
      </c>
      <c r="H10" s="114">
        <v>0.0</v>
      </c>
      <c r="I10" s="114">
        <v>0.0</v>
      </c>
      <c r="J10" s="114">
        <v>0.0</v>
      </c>
      <c r="K10" s="114">
        <v>0.0</v>
      </c>
      <c r="L10" s="114">
        <v>0.0</v>
      </c>
      <c r="M10" s="114">
        <v>0.0</v>
      </c>
      <c r="N10" s="114">
        <f t="shared" si="1"/>
        <v>2710.358225</v>
      </c>
    </row>
    <row r="11">
      <c r="A11" s="113" t="s">
        <v>122</v>
      </c>
      <c r="B11" s="114">
        <v>2463.9830716890006</v>
      </c>
      <c r="C11" s="114">
        <v>195.339676</v>
      </c>
      <c r="D11" s="114">
        <v>841.31881681</v>
      </c>
      <c r="E11" s="114">
        <v>1.0963243</v>
      </c>
      <c r="F11" s="114">
        <v>61.7525594</v>
      </c>
      <c r="G11" s="114">
        <v>7.129882</v>
      </c>
      <c r="H11" s="114">
        <v>17.8469005</v>
      </c>
      <c r="I11" s="114">
        <v>7.1289446</v>
      </c>
      <c r="J11" s="114">
        <v>93.0217385</v>
      </c>
      <c r="K11" s="114">
        <v>1017.1270852488</v>
      </c>
      <c r="L11" s="114">
        <v>315.22893526900003</v>
      </c>
      <c r="M11" s="114">
        <v>18.2829722</v>
      </c>
      <c r="N11" s="114">
        <f t="shared" si="1"/>
        <v>5039.256907</v>
      </c>
    </row>
    <row r="12">
      <c r="A12" s="113" t="s">
        <v>123</v>
      </c>
      <c r="B12" s="114">
        <v>598.185659</v>
      </c>
      <c r="C12" s="114">
        <v>532.4417433</v>
      </c>
      <c r="D12" s="114">
        <v>583.7110555</v>
      </c>
      <c r="E12" s="114">
        <v>464.4597245</v>
      </c>
      <c r="F12" s="114">
        <v>811.0185429</v>
      </c>
      <c r="G12" s="114">
        <v>825.0789794</v>
      </c>
      <c r="H12" s="114">
        <v>568.645459</v>
      </c>
      <c r="I12" s="114">
        <v>988.6606242</v>
      </c>
      <c r="J12" s="114">
        <v>811.3347834</v>
      </c>
      <c r="K12" s="114">
        <v>841.8834002</v>
      </c>
      <c r="L12" s="114">
        <v>609.3827839999999</v>
      </c>
      <c r="M12" s="114">
        <v>678.829076</v>
      </c>
      <c r="N12" s="114">
        <f t="shared" si="1"/>
        <v>8313.631831</v>
      </c>
    </row>
    <row r="13">
      <c r="A13" s="113" t="s">
        <v>124</v>
      </c>
      <c r="B13" s="114">
        <v>318.6720379</v>
      </c>
      <c r="C13" s="114">
        <v>71.8061809</v>
      </c>
      <c r="D13" s="114">
        <v>195.12870709999999</v>
      </c>
      <c r="E13" s="114">
        <v>469.9382018</v>
      </c>
      <c r="F13" s="114">
        <v>626.6222793</v>
      </c>
      <c r="G13" s="114">
        <v>579.9655287999999</v>
      </c>
      <c r="H13" s="114">
        <v>197.0142706</v>
      </c>
      <c r="I13" s="114">
        <v>521.5843709000001</v>
      </c>
      <c r="J13" s="114">
        <v>323.96177500000005</v>
      </c>
      <c r="K13" s="114">
        <v>30.1467624</v>
      </c>
      <c r="L13" s="114">
        <v>705.020090366</v>
      </c>
      <c r="M13" s="114">
        <v>352.2425852</v>
      </c>
      <c r="N13" s="114">
        <f t="shared" si="1"/>
        <v>4392.10279</v>
      </c>
    </row>
    <row r="14">
      <c r="A14" s="113" t="s">
        <v>125</v>
      </c>
      <c r="B14" s="114">
        <v>15.6622943</v>
      </c>
      <c r="C14" s="114">
        <v>22.6825586</v>
      </c>
      <c r="D14" s="114">
        <v>4.181035</v>
      </c>
      <c r="E14" s="114">
        <v>13.4420397</v>
      </c>
      <c r="F14" s="114">
        <v>2.0986021</v>
      </c>
      <c r="G14" s="114">
        <v>3.9878675</v>
      </c>
      <c r="H14" s="114">
        <v>3.5058825</v>
      </c>
      <c r="I14" s="114">
        <v>12.5808775</v>
      </c>
      <c r="J14" s="114">
        <v>13.8748384</v>
      </c>
      <c r="K14" s="114">
        <v>7.4337785</v>
      </c>
      <c r="L14" s="114">
        <v>41.4731932</v>
      </c>
      <c r="M14" s="114">
        <v>55.8586278</v>
      </c>
      <c r="N14" s="114">
        <f t="shared" si="1"/>
        <v>196.7815951</v>
      </c>
    </row>
    <row r="15">
      <c r="A15" s="113" t="s">
        <v>126</v>
      </c>
      <c r="B15" s="114">
        <v>682.4371084000004</v>
      </c>
      <c r="C15" s="114">
        <v>716.1419976999996</v>
      </c>
      <c r="D15" s="114">
        <v>754.0138767529997</v>
      </c>
      <c r="E15" s="114">
        <v>520.386164399998</v>
      </c>
      <c r="F15" s="114">
        <v>629.1252328999999</v>
      </c>
      <c r="G15" s="114">
        <v>497.04169959999854</v>
      </c>
      <c r="H15" s="114">
        <v>314.6479195690008</v>
      </c>
      <c r="I15" s="114">
        <v>954.0325407635646</v>
      </c>
      <c r="J15" s="114">
        <v>466.1817351569998</v>
      </c>
      <c r="K15" s="114">
        <v>586.2591804000003</v>
      </c>
      <c r="L15" s="114">
        <v>519.2305162519997</v>
      </c>
      <c r="M15" s="114">
        <v>642.0443250079998</v>
      </c>
      <c r="N15" s="114">
        <f t="shared" si="1"/>
        <v>7281.542297</v>
      </c>
    </row>
    <row r="16">
      <c r="A16" s="113" t="s">
        <v>41</v>
      </c>
      <c r="B16" s="114">
        <v>7411.17604921</v>
      </c>
      <c r="C16" s="114">
        <v>5024.450125314636</v>
      </c>
      <c r="D16" s="114">
        <v>6774.419243402001</v>
      </c>
      <c r="E16" s="114">
        <v>5688.734062919999</v>
      </c>
      <c r="F16" s="114">
        <v>5514.983985684999</v>
      </c>
      <c r="G16" s="114">
        <v>5248.040961398559</v>
      </c>
      <c r="H16" s="114">
        <v>4647.79899819</v>
      </c>
      <c r="I16" s="114">
        <v>5581.930471063564</v>
      </c>
      <c r="J16" s="114">
        <v>5039.354561552999</v>
      </c>
      <c r="K16" s="114">
        <v>5386.3993983048</v>
      </c>
      <c r="L16" s="114">
        <v>5449.647660623999</v>
      </c>
      <c r="M16" s="114">
        <v>6324.187115608</v>
      </c>
      <c r="N16" s="114">
        <f t="shared" si="1"/>
        <v>68091.12263</v>
      </c>
    </row>
    <row r="17">
      <c r="A17" s="113" t="s">
        <v>80</v>
      </c>
      <c r="B17" s="114">
        <v>67864.20518195273</v>
      </c>
      <c r="C17" s="114">
        <v>54762.87123844694</v>
      </c>
      <c r="D17" s="114">
        <v>56750.75786993578</v>
      </c>
      <c r="E17" s="114">
        <v>55482.294606899995</v>
      </c>
      <c r="F17" s="114">
        <v>56158.573150431694</v>
      </c>
      <c r="G17" s="114">
        <v>53638.481714935</v>
      </c>
      <c r="H17" s="114">
        <v>52482.26227533301</v>
      </c>
      <c r="I17" s="114">
        <v>66324.26385774172</v>
      </c>
      <c r="J17" s="114">
        <v>62310.876261056976</v>
      </c>
      <c r="K17" s="114">
        <v>75385.14612522222</v>
      </c>
      <c r="L17" s="114">
        <v>64343.55914701031</v>
      </c>
      <c r="M17" s="114">
        <v>74807.67336031648</v>
      </c>
      <c r="N17" s="114">
        <f t="shared" si="1"/>
        <v>740310.9648</v>
      </c>
    </row>
    <row r="18"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>
        <f t="shared" si="1"/>
        <v>0</v>
      </c>
    </row>
    <row r="19">
      <c r="A19" s="113" t="s">
        <v>127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>
        <f t="shared" si="1"/>
        <v>0</v>
      </c>
    </row>
    <row r="20">
      <c r="A20" s="113" t="s">
        <v>31</v>
      </c>
      <c r="B20" s="114">
        <v>68.28</v>
      </c>
      <c r="C20" s="114">
        <v>83.43</v>
      </c>
      <c r="D20" s="114">
        <v>74.23</v>
      </c>
      <c r="E20" s="114">
        <v>63.97</v>
      </c>
      <c r="F20" s="114">
        <v>49.32</v>
      </c>
      <c r="G20" s="114">
        <v>83.02</v>
      </c>
      <c r="H20" s="114">
        <v>78.79</v>
      </c>
      <c r="I20" s="114">
        <v>83.34</v>
      </c>
      <c r="J20" s="114">
        <v>79.19</v>
      </c>
      <c r="K20" s="114">
        <v>64.687</v>
      </c>
      <c r="L20" s="114">
        <v>105.52</v>
      </c>
      <c r="M20" s="114">
        <v>113.4</v>
      </c>
      <c r="N20" s="114">
        <f t="shared" si="1"/>
        <v>947.177</v>
      </c>
    </row>
    <row r="21" ht="15.75" customHeight="1">
      <c r="A21" s="113" t="s">
        <v>119</v>
      </c>
      <c r="B21" s="114">
        <v>4031.29778795</v>
      </c>
      <c r="C21" s="114">
        <v>3581.2296775644286</v>
      </c>
      <c r="D21" s="114">
        <v>3426.73684271492</v>
      </c>
      <c r="E21" s="114">
        <v>3948.0693170357677</v>
      </c>
      <c r="F21" s="114">
        <v>4112.049800282499</v>
      </c>
      <c r="G21" s="114">
        <v>3230.144847096529</v>
      </c>
      <c r="H21" s="114">
        <v>2802.8993036400007</v>
      </c>
      <c r="I21" s="114">
        <v>4630.95582574</v>
      </c>
      <c r="J21" s="114">
        <v>3634.6215843222076</v>
      </c>
      <c r="K21" s="114">
        <v>3557.941647321224</v>
      </c>
      <c r="L21" s="114">
        <v>4085.7089225009927</v>
      </c>
      <c r="M21" s="114">
        <v>4578.090484768233</v>
      </c>
      <c r="N21" s="114">
        <f t="shared" si="1"/>
        <v>45619.74604</v>
      </c>
    </row>
    <row r="22" ht="15.75" customHeight="1">
      <c r="A22" s="113" t="s">
        <v>120</v>
      </c>
      <c r="B22" s="114">
        <v>6134.356489816746</v>
      </c>
      <c r="C22" s="114">
        <v>6187.952352797271</v>
      </c>
      <c r="D22" s="114">
        <v>6216.4194451559</v>
      </c>
      <c r="E22" s="114">
        <v>5633.3723482937585</v>
      </c>
      <c r="F22" s="114">
        <v>5103.112155336</v>
      </c>
      <c r="G22" s="114">
        <v>7017.252490533855</v>
      </c>
      <c r="H22" s="114">
        <v>4586.728613964</v>
      </c>
      <c r="I22" s="114">
        <v>5065.9683271628755</v>
      </c>
      <c r="J22" s="114">
        <v>7383.744329492338</v>
      </c>
      <c r="K22" s="114">
        <v>5834.110212695724</v>
      </c>
      <c r="L22" s="114">
        <v>5704.566346427834</v>
      </c>
      <c r="M22" s="114">
        <v>9114.234525293574</v>
      </c>
      <c r="N22" s="114">
        <f t="shared" si="1"/>
        <v>73981.81764</v>
      </c>
    </row>
    <row r="23" ht="15.75" customHeight="1">
      <c r="A23" s="113" t="s">
        <v>34</v>
      </c>
      <c r="B23" s="114">
        <v>1425.3400000000001</v>
      </c>
      <c r="C23" s="114">
        <v>1522.9758947470002</v>
      </c>
      <c r="D23" s="114">
        <v>1949.95</v>
      </c>
      <c r="E23" s="114">
        <v>1875.35</v>
      </c>
      <c r="F23" s="114">
        <v>2033.3400000000001</v>
      </c>
      <c r="G23" s="114">
        <v>2115.63</v>
      </c>
      <c r="H23" s="114">
        <v>2487.1</v>
      </c>
      <c r="I23" s="114">
        <v>2195.5299999999997</v>
      </c>
      <c r="J23" s="114">
        <v>2092.62</v>
      </c>
      <c r="K23" s="114">
        <v>1570.2789999999998</v>
      </c>
      <c r="L23" s="114">
        <v>1256.92</v>
      </c>
      <c r="M23" s="114">
        <v>1331.6100000000001</v>
      </c>
      <c r="N23" s="114">
        <f t="shared" si="1"/>
        <v>21856.64489</v>
      </c>
    </row>
    <row r="24" ht="15.75" customHeight="1">
      <c r="A24" s="113" t="s">
        <v>122</v>
      </c>
      <c r="B24" s="114">
        <v>7267.679301712417</v>
      </c>
      <c r="C24" s="114">
        <v>10182.760364414824</v>
      </c>
      <c r="D24" s="114">
        <v>7589.082041466417</v>
      </c>
      <c r="E24" s="114">
        <v>7937.313394031217</v>
      </c>
      <c r="F24" s="114">
        <v>8115.226926213417</v>
      </c>
      <c r="G24" s="114">
        <v>9178.102079949416</v>
      </c>
      <c r="H24" s="114">
        <v>10364.897390422417</v>
      </c>
      <c r="I24" s="114">
        <v>9416.003637248417</v>
      </c>
      <c r="J24" s="114">
        <v>9246.247329909416</v>
      </c>
      <c r="K24" s="114">
        <v>7087.052794285417</v>
      </c>
      <c r="L24" s="114">
        <v>6473.863117105417</v>
      </c>
      <c r="M24" s="114">
        <v>11713.695838343416</v>
      </c>
      <c r="N24" s="114">
        <f t="shared" si="1"/>
        <v>104571.9242</v>
      </c>
    </row>
    <row r="25" ht="15.75" customHeight="1">
      <c r="A25" s="113" t="s">
        <v>121</v>
      </c>
      <c r="B25" s="114">
        <v>13.96</v>
      </c>
      <c r="C25" s="114">
        <v>21.38</v>
      </c>
      <c r="D25" s="114">
        <v>10.25</v>
      </c>
      <c r="E25" s="114">
        <v>14.98</v>
      </c>
      <c r="F25" s="114">
        <v>10.25</v>
      </c>
      <c r="G25" s="114">
        <v>13.27</v>
      </c>
      <c r="H25" s="114">
        <v>9.81</v>
      </c>
      <c r="I25" s="114">
        <v>13.12</v>
      </c>
      <c r="J25" s="114">
        <v>17.92</v>
      </c>
      <c r="K25" s="114">
        <v>23.267</v>
      </c>
      <c r="L25" s="114">
        <v>21.23</v>
      </c>
      <c r="M25" s="114">
        <v>21.48</v>
      </c>
      <c r="N25" s="114">
        <f t="shared" si="1"/>
        <v>190.917</v>
      </c>
    </row>
    <row r="26" ht="15.75" customHeight="1">
      <c r="A26" s="113" t="s">
        <v>46</v>
      </c>
      <c r="B26" s="114">
        <v>32.33</v>
      </c>
      <c r="C26" s="114">
        <v>33.616331</v>
      </c>
      <c r="D26" s="114">
        <v>29.664650000000005</v>
      </c>
      <c r="E26" s="114">
        <v>32.49295</v>
      </c>
      <c r="F26" s="114">
        <v>29.10534</v>
      </c>
      <c r="G26" s="114">
        <v>31.71096</v>
      </c>
      <c r="H26" s="114">
        <v>33.818928</v>
      </c>
      <c r="I26" s="114">
        <v>0.0</v>
      </c>
      <c r="J26" s="114">
        <v>34.28029600000001</v>
      </c>
      <c r="K26" s="114">
        <v>0.0</v>
      </c>
      <c r="L26" s="114">
        <v>35.030448</v>
      </c>
      <c r="M26" s="114">
        <v>39.1</v>
      </c>
      <c r="N26" s="114">
        <f t="shared" si="1"/>
        <v>331.149903</v>
      </c>
    </row>
    <row r="27" ht="15.75" customHeight="1">
      <c r="A27" s="113" t="s">
        <v>123</v>
      </c>
      <c r="B27" s="114">
        <v>1.3113432660000002</v>
      </c>
      <c r="C27" s="114">
        <v>2.590637139</v>
      </c>
      <c r="D27" s="114">
        <v>2.817351964</v>
      </c>
      <c r="E27" s="114">
        <v>2.892781364</v>
      </c>
      <c r="F27" s="114">
        <v>2.7324060660000002</v>
      </c>
      <c r="G27" s="114">
        <v>5.986473866</v>
      </c>
      <c r="H27" s="114">
        <v>2.7516557930000003</v>
      </c>
      <c r="I27" s="114">
        <v>2.8855567090000003</v>
      </c>
      <c r="J27" s="114">
        <v>28.332569</v>
      </c>
      <c r="K27" s="114">
        <v>36.798209951000004</v>
      </c>
      <c r="L27" s="114">
        <v>67.785231002</v>
      </c>
      <c r="M27" s="114">
        <v>23.888681434000002</v>
      </c>
      <c r="N27" s="114">
        <f t="shared" si="1"/>
        <v>180.7728976</v>
      </c>
    </row>
    <row r="28" ht="15.75" customHeight="1">
      <c r="A28" s="113" t="s">
        <v>124</v>
      </c>
      <c r="B28" s="114">
        <v>1186.6190670467504</v>
      </c>
      <c r="C28" s="114">
        <v>1935.771690232691</v>
      </c>
      <c r="D28" s="114">
        <v>1967.42966301776</v>
      </c>
      <c r="E28" s="114">
        <v>2284.7891306491465</v>
      </c>
      <c r="F28" s="114">
        <v>2393.675220584764</v>
      </c>
      <c r="G28" s="114">
        <v>2107.056949511</v>
      </c>
      <c r="H28" s="114">
        <v>1939.979635919</v>
      </c>
      <c r="I28" s="114">
        <v>2161.056765973093</v>
      </c>
      <c r="J28" s="114">
        <v>2494.7087700783686</v>
      </c>
      <c r="K28" s="114">
        <v>2730.590913751868</v>
      </c>
      <c r="L28" s="114">
        <v>2144.3810468450893</v>
      </c>
      <c r="M28" s="114">
        <v>2230.207691335345</v>
      </c>
      <c r="N28" s="114">
        <f t="shared" si="1"/>
        <v>25576.26654</v>
      </c>
    </row>
    <row r="29" ht="15.75" customHeight="1">
      <c r="A29" s="113" t="s">
        <v>125</v>
      </c>
      <c r="B29" s="114">
        <v>8.652598862</v>
      </c>
      <c r="C29" s="114">
        <v>0.732351962</v>
      </c>
      <c r="D29" s="114">
        <v>7.049742059000001</v>
      </c>
      <c r="E29" s="114">
        <v>0.0</v>
      </c>
      <c r="F29" s="114">
        <v>0.0</v>
      </c>
      <c r="G29" s="114">
        <v>0.0</v>
      </c>
      <c r="H29" s="114">
        <v>0.0</v>
      </c>
      <c r="I29" s="114">
        <v>0.8683511</v>
      </c>
      <c r="J29" s="114">
        <v>8.2535352</v>
      </c>
      <c r="K29" s="114">
        <v>0.0</v>
      </c>
      <c r="L29" s="114">
        <v>0.9825816</v>
      </c>
      <c r="M29" s="114">
        <v>0.2630561</v>
      </c>
      <c r="N29" s="114">
        <f t="shared" si="1"/>
        <v>26.80221688</v>
      </c>
    </row>
    <row r="30" ht="15.75" customHeight="1">
      <c r="A30" s="113" t="s">
        <v>126</v>
      </c>
      <c r="B30" s="114">
        <v>1428.2000000000007</v>
      </c>
      <c r="C30" s="114">
        <v>1062.2022951941362</v>
      </c>
      <c r="D30" s="114">
        <v>814.8110593999991</v>
      </c>
      <c r="E30" s="114">
        <v>1003.0399999999972</v>
      </c>
      <c r="F30" s="114">
        <v>646.2210593999989</v>
      </c>
      <c r="G30" s="114">
        <v>796.0510594000043</v>
      </c>
      <c r="H30" s="114">
        <v>958.4841941999985</v>
      </c>
      <c r="I30" s="114">
        <v>972.9300000000039</v>
      </c>
      <c r="J30" s="114">
        <v>703.1167083999972</v>
      </c>
      <c r="K30" s="114">
        <v>660.0</v>
      </c>
      <c r="L30" s="114">
        <v>1041.0567084000031</v>
      </c>
      <c r="M30" s="114">
        <v>1273.8985952000003</v>
      </c>
      <c r="N30" s="114">
        <f t="shared" si="1"/>
        <v>11360.01168</v>
      </c>
    </row>
    <row r="31" ht="15.75" customHeight="1">
      <c r="A31" s="113" t="s">
        <v>128</v>
      </c>
      <c r="B31" s="114">
        <v>21598.026588653916</v>
      </c>
      <c r="C31" s="114">
        <v>24614.64159505135</v>
      </c>
      <c r="D31" s="114">
        <v>22088.440795777995</v>
      </c>
      <c r="E31" s="114">
        <v>22796.26992137389</v>
      </c>
      <c r="F31" s="114">
        <v>22495.032907882676</v>
      </c>
      <c r="G31" s="114">
        <v>24578.224860356804</v>
      </c>
      <c r="H31" s="114">
        <v>23265.259721938415</v>
      </c>
      <c r="I31" s="114">
        <v>24542.65846393339</v>
      </c>
      <c r="J31" s="114">
        <v>25723.03512240233</v>
      </c>
      <c r="K31" s="114">
        <v>21564.72677800523</v>
      </c>
      <c r="L31" s="114">
        <v>20937.044401881336</v>
      </c>
      <c r="M31" s="114">
        <v>30439.868872474566</v>
      </c>
      <c r="N31" s="114">
        <f t="shared" si="1"/>
        <v>284643.23</v>
      </c>
    </row>
    <row r="32" ht="15.75" customHeight="1">
      <c r="A32" s="113" t="s">
        <v>50</v>
      </c>
      <c r="B32" s="114">
        <v>46266.17859329881</v>
      </c>
      <c r="C32" s="114">
        <v>30148.22964339559</v>
      </c>
      <c r="D32" s="114">
        <v>34662.31707415778</v>
      </c>
      <c r="E32" s="114">
        <v>32686.024685526107</v>
      </c>
      <c r="F32" s="114">
        <v>33663.54024254902</v>
      </c>
      <c r="G32" s="114">
        <v>29060.256854578194</v>
      </c>
      <c r="H32" s="114">
        <v>29217.00255339459</v>
      </c>
      <c r="I32" s="114">
        <v>41781.605393808335</v>
      </c>
      <c r="J32" s="114">
        <v>36587.84113865465</v>
      </c>
      <c r="K32" s="114">
        <v>53820.419347216986</v>
      </c>
      <c r="L32" s="114">
        <v>43406.514745128974</v>
      </c>
      <c r="M32" s="114">
        <v>44367.80448784191</v>
      </c>
      <c r="N32" s="114">
        <f t="shared" si="1"/>
        <v>455667.7348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